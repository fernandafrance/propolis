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E2170354182563/Documentos/Doutorado/Manuscrito propolis compounds/"/>
    </mc:Choice>
  </mc:AlternateContent>
  <xr:revisionPtr revIDLastSave="112" documentId="8_{AFEC2FB4-9C75-42FB-B64B-39F31F728778}" xr6:coauthVersionLast="47" xr6:coauthVersionMax="47" xr10:uidLastSave="{9CE7E9FD-9224-417A-A8F8-DF898ABF1A52}"/>
  <bookViews>
    <workbookView xWindow="-120" yWindow="-120" windowWidth="20730" windowHeight="11040" xr2:uid="{00000000-000D-0000-FFFF-FFFF00000000}"/>
  </bookViews>
  <sheets>
    <sheet name="propolis_compoun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1" l="1"/>
  <c r="O8" i="1" a="1"/>
  <c r="O8" i="1" s="1"/>
  <c r="P26" i="1" l="1"/>
  <c r="Q8" i="1" a="1"/>
  <c r="Q8" i="1" s="1"/>
  <c r="R8" i="1" s="1"/>
  <c r="P8" i="1"/>
  <c r="T77" i="1"/>
  <c r="T47" i="1"/>
  <c r="S8" i="1" a="1"/>
  <c r="S8" i="1" s="1"/>
  <c r="T8" i="1" s="1"/>
  <c r="T135" i="1" l="1"/>
  <c r="R14" i="1"/>
  <c r="R22" i="1"/>
  <c r="R30" i="1"/>
  <c r="R38" i="1"/>
  <c r="R46" i="1"/>
  <c r="R54" i="1"/>
  <c r="R62" i="1"/>
  <c r="R70" i="1"/>
  <c r="R78" i="1"/>
  <c r="R86" i="1"/>
  <c r="T16" i="1"/>
  <c r="T24" i="1"/>
  <c r="T32" i="1"/>
  <c r="T40" i="1"/>
  <c r="T48" i="1"/>
  <c r="T56" i="1"/>
  <c r="T64" i="1"/>
  <c r="T72" i="1"/>
  <c r="T81" i="1"/>
  <c r="T89" i="1"/>
  <c r="T97" i="1"/>
  <c r="T105" i="1"/>
  <c r="T113" i="1"/>
  <c r="T121" i="1"/>
  <c r="T129" i="1"/>
  <c r="T15" i="1"/>
  <c r="T23" i="1"/>
  <c r="T31" i="1"/>
  <c r="T39" i="1"/>
  <c r="R31" i="1"/>
  <c r="R55" i="1"/>
  <c r="R71" i="1"/>
  <c r="R87" i="1"/>
  <c r="T9" i="1"/>
  <c r="T25" i="1"/>
  <c r="T33" i="1"/>
  <c r="T41" i="1"/>
  <c r="T49" i="1"/>
  <c r="T57" i="1"/>
  <c r="T65" i="1"/>
  <c r="T73" i="1"/>
  <c r="T82" i="1"/>
  <c r="T90" i="1"/>
  <c r="T98" i="1"/>
  <c r="T106" i="1"/>
  <c r="T114" i="1"/>
  <c r="T122" i="1"/>
  <c r="T130" i="1"/>
  <c r="T55" i="1"/>
  <c r="T63" i="1"/>
  <c r="T71" i="1"/>
  <c r="T80" i="1"/>
  <c r="T88" i="1"/>
  <c r="T96" i="1"/>
  <c r="T104" i="1"/>
  <c r="T112" i="1"/>
  <c r="T120" i="1"/>
  <c r="T128" i="1"/>
  <c r="P13" i="1"/>
  <c r="P21" i="1"/>
  <c r="P14" i="1"/>
  <c r="P22" i="1"/>
  <c r="R15" i="1"/>
  <c r="R23" i="1"/>
  <c r="R39" i="1"/>
  <c r="R47" i="1"/>
  <c r="R63" i="1"/>
  <c r="R79" i="1"/>
  <c r="T17" i="1"/>
  <c r="P15" i="1"/>
  <c r="P23" i="1"/>
  <c r="R16" i="1"/>
  <c r="R24" i="1"/>
  <c r="R32" i="1"/>
  <c r="R40" i="1"/>
  <c r="R48" i="1"/>
  <c r="R56" i="1"/>
  <c r="R64" i="1"/>
  <c r="R72" i="1"/>
  <c r="R80" i="1"/>
  <c r="R88" i="1"/>
  <c r="T10" i="1"/>
  <c r="T18" i="1"/>
  <c r="T26" i="1"/>
  <c r="T34" i="1"/>
  <c r="T42" i="1"/>
  <c r="T50" i="1"/>
  <c r="T58" i="1"/>
  <c r="T66" i="1"/>
  <c r="T75" i="1"/>
  <c r="T83" i="1"/>
  <c r="T91" i="1"/>
  <c r="T99" i="1"/>
  <c r="T107" i="1"/>
  <c r="T115" i="1"/>
  <c r="T123" i="1"/>
  <c r="T131" i="1"/>
  <c r="R13" i="1"/>
  <c r="R21" i="1"/>
  <c r="R29" i="1"/>
  <c r="R37" i="1"/>
  <c r="R45" i="1"/>
  <c r="R53" i="1"/>
  <c r="R61" i="1"/>
  <c r="R69" i="1"/>
  <c r="R77" i="1"/>
  <c r="R85" i="1"/>
  <c r="P16" i="1"/>
  <c r="P24" i="1"/>
  <c r="R17" i="1"/>
  <c r="R25" i="1"/>
  <c r="R33" i="1"/>
  <c r="R41" i="1"/>
  <c r="R49" i="1"/>
  <c r="R57" i="1"/>
  <c r="R65" i="1"/>
  <c r="R73" i="1"/>
  <c r="R81" i="1"/>
  <c r="R89" i="1"/>
  <c r="T11" i="1"/>
  <c r="T19" i="1"/>
  <c r="T27" i="1"/>
  <c r="T35" i="1"/>
  <c r="T43" i="1"/>
  <c r="T51" i="1"/>
  <c r="T59" i="1"/>
  <c r="T67" i="1"/>
  <c r="T76" i="1"/>
  <c r="T84" i="1"/>
  <c r="T92" i="1"/>
  <c r="T100" i="1"/>
  <c r="T108" i="1"/>
  <c r="T116" i="1"/>
  <c r="T124" i="1"/>
  <c r="T132" i="1"/>
  <c r="T85" i="1"/>
  <c r="T93" i="1"/>
  <c r="T101" i="1"/>
  <c r="T109" i="1"/>
  <c r="T117" i="1"/>
  <c r="T125" i="1"/>
  <c r="T133" i="1"/>
  <c r="P11" i="1"/>
  <c r="P19" i="1"/>
  <c r="P27" i="1"/>
  <c r="R12" i="1"/>
  <c r="R20" i="1"/>
  <c r="R28" i="1"/>
  <c r="R36" i="1"/>
  <c r="R44" i="1"/>
  <c r="R52" i="1"/>
  <c r="R60" i="1"/>
  <c r="R68" i="1"/>
  <c r="R76" i="1"/>
  <c r="R84" i="1"/>
  <c r="T14" i="1"/>
  <c r="T22" i="1"/>
  <c r="T30" i="1"/>
  <c r="T38" i="1"/>
  <c r="T46" i="1"/>
  <c r="T54" i="1"/>
  <c r="T62" i="1"/>
  <c r="T70" i="1"/>
  <c r="T79" i="1"/>
  <c r="T87" i="1"/>
  <c r="T95" i="1"/>
  <c r="T103" i="1"/>
  <c r="T111" i="1"/>
  <c r="T119" i="1"/>
  <c r="T127" i="1"/>
  <c r="P12" i="1"/>
  <c r="P20" i="1"/>
  <c r="P9" i="1"/>
  <c r="P17" i="1"/>
  <c r="P25" i="1"/>
  <c r="R10" i="1"/>
  <c r="R18" i="1"/>
  <c r="R26" i="1"/>
  <c r="R34" i="1"/>
  <c r="R42" i="1"/>
  <c r="R50" i="1"/>
  <c r="R58" i="1"/>
  <c r="R66" i="1"/>
  <c r="R74" i="1"/>
  <c r="R82" i="1"/>
  <c r="R90" i="1"/>
  <c r="T12" i="1"/>
  <c r="T20" i="1"/>
  <c r="T28" i="1"/>
  <c r="T36" i="1"/>
  <c r="T44" i="1"/>
  <c r="T52" i="1"/>
  <c r="T60" i="1"/>
  <c r="T68" i="1"/>
  <c r="P10" i="1"/>
  <c r="P18" i="1"/>
  <c r="R11" i="1"/>
  <c r="R19" i="1"/>
  <c r="R27" i="1"/>
  <c r="R35" i="1"/>
  <c r="R43" i="1"/>
  <c r="R51" i="1"/>
  <c r="R59" i="1"/>
  <c r="R67" i="1"/>
  <c r="R75" i="1"/>
  <c r="R83" i="1"/>
  <c r="R91" i="1"/>
  <c r="T13" i="1"/>
  <c r="T21" i="1"/>
  <c r="T29" i="1"/>
  <c r="T37" i="1"/>
  <c r="T45" i="1"/>
  <c r="T53" i="1"/>
  <c r="T61" i="1"/>
  <c r="T69" i="1"/>
  <c r="T78" i="1"/>
  <c r="T86" i="1"/>
  <c r="T94" i="1"/>
  <c r="T102" i="1"/>
  <c r="T110" i="1"/>
  <c r="T118" i="1"/>
  <c r="T126" i="1"/>
  <c r="T134" i="1"/>
  <c r="P29" i="1" l="1"/>
  <c r="T137" i="1"/>
  <c r="R9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<sst xmlns="http://schemas.openxmlformats.org/spreadsheetml/2006/main" count="13864" uniqueCount="4783">
  <si>
    <t>InChIKey</t>
  </si>
  <si>
    <t>ClassyFy Status</t>
  </si>
  <si>
    <t>Kingdom</t>
  </si>
  <si>
    <t>Superclass</t>
  </si>
  <si>
    <t>Class</t>
  </si>
  <si>
    <t>Subclass</t>
  </si>
  <si>
    <t>Parent Level 1</t>
  </si>
  <si>
    <t>Parent Level 2</t>
  </si>
  <si>
    <t>Parent Level 3</t>
  </si>
  <si>
    <t>Parent Level 4</t>
  </si>
  <si>
    <t>KXKVLQRXCPHEJC-UHFFFAOYSA-N</t>
  </si>
  <si>
    <t>Completed</t>
  </si>
  <si>
    <t>Organic compounds</t>
  </si>
  <si>
    <t>Organic acids and derivatives</t>
  </si>
  <si>
    <t>Carboxylic acids and derivatives</t>
  </si>
  <si>
    <t>Carboxylic acid derivatives</t>
  </si>
  <si>
    <t>Carboxylic acid esters</t>
  </si>
  <si>
    <t>Methyl esters</t>
  </si>
  <si>
    <t>NBIIXXVUZAFLBC-UHFFFAOYSA-N</t>
  </si>
  <si>
    <t>Inorganic compounds</t>
  </si>
  <si>
    <t>Homogeneous non-metal compounds</t>
  </si>
  <si>
    <t>Non-metal oxoanionic compounds</t>
  </si>
  <si>
    <t>Non-metal phosphates</t>
  </si>
  <si>
    <t>VSMOENVRRABVKN-UHFFFAOYSA-N</t>
  </si>
  <si>
    <t>Lipids and lipid-like molecules</t>
  </si>
  <si>
    <t>Fatty Acyls</t>
  </si>
  <si>
    <t>Fatty alcohols</t>
  </si>
  <si>
    <t>ZCHHRLHTBGRGOT-SNAWJCMRSA-N</t>
  </si>
  <si>
    <t>AMQJEAYHLZJPGS-UHFFFAOYSA-N</t>
  </si>
  <si>
    <t>Organic oxygen compounds</t>
  </si>
  <si>
    <t>Organooxygen compounds</t>
  </si>
  <si>
    <t>Alcohols and polyols</t>
  </si>
  <si>
    <t>Primary alcohols</t>
  </si>
  <si>
    <t>BBMCTIGTTCKYKF-UHFFFAOYSA-N</t>
  </si>
  <si>
    <t>PHTQWCKDNZKARW-UHFFFAOYSA-N</t>
  </si>
  <si>
    <t>ZENOXNGFMSCLLL-UHFFFAOYSA-N</t>
  </si>
  <si>
    <t>Benzenoids</t>
  </si>
  <si>
    <t>Phenols</t>
  </si>
  <si>
    <t>Methoxyphenols</t>
  </si>
  <si>
    <t>NGFMICBWJRZIBI-UJPOAAIJSA-N</t>
  </si>
  <si>
    <t>Carbohydrates and carbohydrate conjugates</t>
  </si>
  <si>
    <t>Glycosyl compounds</t>
  </si>
  <si>
    <t>Phenolic glycosides</t>
  </si>
  <si>
    <t>WVDDGKGOMKODPV-UHFFFAOYSA-N</t>
  </si>
  <si>
    <t>Benzene and substituted derivatives</t>
  </si>
  <si>
    <t>Benzyl alcohols</t>
  </si>
  <si>
    <t>LKDRXBCSQODPBY-VRPWFDPXSA-N</t>
  </si>
  <si>
    <t>Monosaccharides</t>
  </si>
  <si>
    <t>CPJRRXSHAYUTGL-UHFFFAOYSA-N</t>
  </si>
  <si>
    <t>Ethers</t>
  </si>
  <si>
    <t>Dialkyl ethers</t>
  </si>
  <si>
    <t>YWAXGXIQALUWKR-WAYWQWQTSA-N</t>
  </si>
  <si>
    <t>Long-chain fatty alcohols</t>
  </si>
  <si>
    <t>LCYXQUJDODZYIJ-DJLDLDEBSA-N</t>
  </si>
  <si>
    <t>Prenol lipids</t>
  </si>
  <si>
    <t>Monoterpenoids</t>
  </si>
  <si>
    <t>Bicyclic monoterpenoids</t>
  </si>
  <si>
    <t>GLZPCOQZEFWAFX-JXMROGBWSA-N</t>
  </si>
  <si>
    <t>Acyclic monoterpenoids</t>
  </si>
  <si>
    <t>CRDAMVZIKSXKFV-YFVJMOTDSA-N</t>
  </si>
  <si>
    <t>Sesquiterpenoids</t>
  </si>
  <si>
    <t>AFPLNGZPBSKHHQ-MEGGAXOGSA-N</t>
  </si>
  <si>
    <t>Polyprenols</t>
  </si>
  <si>
    <t>GLZPCOQZEFWAFX-YFHOEESVSA-N</t>
  </si>
  <si>
    <t>XXROGKLTLUQVRX-UHFFFAOYSA-N</t>
  </si>
  <si>
    <t>JLIDBLDQVAYHNE-UHFFFAOYSA-N</t>
  </si>
  <si>
    <t>Abscisic acids and derivatives</t>
  </si>
  <si>
    <t>JLIDBLDQVAYHNE-LXGGSRJLSA-N</t>
  </si>
  <si>
    <t>JLIDBLDQVAYHNE-WEYXYWBQSA-N</t>
  </si>
  <si>
    <t>JLIDBLDQVAYHNE-QHFMCZIYSA-N</t>
  </si>
  <si>
    <t>JLIDBLDQVAYHNE-KDSIFHRYSA-N</t>
  </si>
  <si>
    <t>JLIDBLDQVAYHNE-YKALOCIXSA-N</t>
  </si>
  <si>
    <t>JLIDBLDQVAYHNE-IBPUIESWSA-N</t>
  </si>
  <si>
    <t>FQTLCLSUCSAZDY-SDNWHVSQSA-N</t>
  </si>
  <si>
    <t>KBPLFHHGFOOTCA-UHFFFAOYSA-N</t>
  </si>
  <si>
    <t>WAPNOHKVXSQRPX-UHFFFAOYSA-N</t>
  </si>
  <si>
    <t>NGYYFWGABVVEPL-UHFFFAOYSA-N</t>
  </si>
  <si>
    <t>Benzenediols</t>
  </si>
  <si>
    <t>Resorcinols</t>
  </si>
  <si>
    <t>BXWNKGSJHAJOGX-UHFFFAOYSA-N</t>
  </si>
  <si>
    <t>GLDOVTGHNKAZLK-UHFFFAOYSA-N</t>
  </si>
  <si>
    <t>BTFJIXJJCSYFAL-UHFFFAOYSA-N</t>
  </si>
  <si>
    <t>NOPFSRXAKWQILS-UHFFFAOYSA-N</t>
  </si>
  <si>
    <t>TYWMIZZBOVGFOV-UHFFFAOYSA-N</t>
  </si>
  <si>
    <t>IRHTZOCLLONTOC-UHFFFAOYSA-N</t>
  </si>
  <si>
    <t>CNNRPFQICPFDPO-UHFFFAOYSA-N</t>
  </si>
  <si>
    <t>REZQBEBOWJAQKS-UHFFFAOYSA-N</t>
  </si>
  <si>
    <t>ROOBHHSRWJOKSH-UHFFFAOYSA-N</t>
  </si>
  <si>
    <t>QOEHNLSDMADWEF-UHFFFAOYSA-N</t>
  </si>
  <si>
    <t>KFZMGEQAYNKOFK-UHFFFAOYSA-N</t>
  </si>
  <si>
    <t>Secondary alcohols</t>
  </si>
  <si>
    <t>ZGJKNMPTVDDRRH-UHFFFAOYSA-N</t>
  </si>
  <si>
    <t>PKBSGDQYUYBUDY-UHFFFAOYSA-N</t>
  </si>
  <si>
    <t>HCXVJBMSMIARIN-PHZDYDNGSA-N</t>
  </si>
  <si>
    <t>Steroids and steroid derivatives</t>
  </si>
  <si>
    <t>Stigmastanes and derivatives</t>
  </si>
  <si>
    <t>NOOLISFMXDJSKH-BBBLOLIVSA-N</t>
  </si>
  <si>
    <t>Menthane monoterpenoids</t>
  </si>
  <si>
    <t>ASUAYTHWZCLXAN-UHFFFAOYSA-N</t>
  </si>
  <si>
    <t>ZSIAUFGUXNUGDI-UHFFFAOYSA-N</t>
  </si>
  <si>
    <t>XPFVYQJUAUNWIW-UHFFFAOYSA-N</t>
  </si>
  <si>
    <t>Organoheterocyclic compounds</t>
  </si>
  <si>
    <t>Heteroaromatic compounds</t>
  </si>
  <si>
    <t>NEJDKFPXHQRVMV-HWKANZROSA-N</t>
  </si>
  <si>
    <t>WRMNZCZEMHIOCP-UHFFFAOYSA-N</t>
  </si>
  <si>
    <t>Carbonyl compounds</t>
  </si>
  <si>
    <t>Ketones</t>
  </si>
  <si>
    <t>Aryl ketones</t>
  </si>
  <si>
    <t>Phenylketones</t>
  </si>
  <si>
    <t>Alkyl-phenylketones</t>
  </si>
  <si>
    <t>OOCCDEMITAIZTP-QPJJXVBHSA-N</t>
  </si>
  <si>
    <t>Phenylpropanoids and polyketides</t>
  </si>
  <si>
    <t>Cinnamyl alcohols</t>
  </si>
  <si>
    <t>NOEGNKMFWQHSLB-UHFFFAOYSA-N</t>
  </si>
  <si>
    <t>Aldehydes</t>
  </si>
  <si>
    <t>Aryl-aldehydes</t>
  </si>
  <si>
    <t>NGDNVOAEIVQRFH-UHFFFAOYSA-N</t>
  </si>
  <si>
    <t>BCTBAGTXFYWYMW-UHFFFAOYSA-N</t>
  </si>
  <si>
    <t>Oxanes</t>
  </si>
  <si>
    <t>SUYJZKRQHBQNCA-LSDHHAIUSA-N</t>
  </si>
  <si>
    <t>Flavonoids</t>
  </si>
  <si>
    <t>Flavans</t>
  </si>
  <si>
    <t>Flavanones</t>
  </si>
  <si>
    <t>Flavanonols</t>
  </si>
  <si>
    <t>VRTGGIJPIYOHGT-LSDHHAIUSA-N</t>
  </si>
  <si>
    <t>CXQWRCVTCMQVQX-LSDHHAIUSA-N</t>
  </si>
  <si>
    <t>FCSRUSQUAVXUKK-VNHYZAJKSA-N</t>
  </si>
  <si>
    <t>Eudesmane, isoeudesmane or cycloeudesmane sesquiterpenoids</t>
  </si>
  <si>
    <t>LHYHMMRYTDARSZ-BYNSBNAKSA-N</t>
  </si>
  <si>
    <t>BOPIMTNSYWYZOC-VNHYZAJKSA-N</t>
  </si>
  <si>
    <t>NOOLISFMXDJSKH-UHFFFAOYSA-N</t>
  </si>
  <si>
    <t>OHEFFKYYKJVVOX-UHFFFAOYSA-N</t>
  </si>
  <si>
    <t>HNVRRHSXBLFLIG-UHFFFAOYSA-N</t>
  </si>
  <si>
    <t>Tertiary alcohols</t>
  </si>
  <si>
    <t>QEOHJVNDENHRCH-VOTSOKGWSA-N</t>
  </si>
  <si>
    <t>DTGKSKDOIYIVQL-HHCGNCNQSA-N</t>
  </si>
  <si>
    <t>HUMNYLRZRPPJDN-UHFFFAOYSA-N</t>
  </si>
  <si>
    <t>Benzoyl derivatives</t>
  </si>
  <si>
    <t>WJUFSDZVCOTFON-UHFFFAOYSA-N</t>
  </si>
  <si>
    <t>Methoxybenzenes</t>
  </si>
  <si>
    <t>Dimethoxybenzenes</t>
  </si>
  <si>
    <t>AXICIBPYBONRSP-UHFFFAOYSA-N</t>
  </si>
  <si>
    <t>Benzopyrans</t>
  </si>
  <si>
    <t>1-benzopyrans</t>
  </si>
  <si>
    <t>2,2-dimethyl-1-benzopyrans</t>
  </si>
  <si>
    <t>AFSDNFLWKVMVRB-UHFFFAOYSA-N</t>
  </si>
  <si>
    <t>Tannins</t>
  </si>
  <si>
    <t>Hydrolyzable tannins</t>
  </si>
  <si>
    <t>FFGPTBGBLSHEPO-UHFFFAOYSA-N</t>
  </si>
  <si>
    <t>Benzazepines</t>
  </si>
  <si>
    <t>Dibenzazepines</t>
  </si>
  <si>
    <t>PANBRUWVURLWGY-MDZDMXLPSA-N</t>
  </si>
  <si>
    <t>Medium-chain aldehydes</t>
  </si>
  <si>
    <t>MMFCJPPRCYDLLZ-CMDGGOBGSA-N</t>
  </si>
  <si>
    <t>BSAIUMLZVGUGKX-BQYQJAHWSA-N</t>
  </si>
  <si>
    <t>LVBXEMGDVWVTGY-VOTSOKGWSA-N</t>
  </si>
  <si>
    <t>MBDOYVRWFFCFHM-SNAWJCMRSA-N</t>
  </si>
  <si>
    <t>SEPQTYODOKLVSB-UHFFFAOYSA-N</t>
  </si>
  <si>
    <t>Alpha,beta-unsaturated carbonyl compounds</t>
  </si>
  <si>
    <t>Alpha,beta-unsaturated aldehydes</t>
  </si>
  <si>
    <t>Enals</t>
  </si>
  <si>
    <t>NUJGJRNETVAIRJ-UHFFFAOYSA-N</t>
  </si>
  <si>
    <t>JARKCYVAAOWBJS-UHFFFAOYSA-N</t>
  </si>
  <si>
    <t>JZQKTMZYLHNFPL-BLHCBFLLSA-N</t>
  </si>
  <si>
    <t>GXANMBISFKBPEX-ONEGZZNKSA-N</t>
  </si>
  <si>
    <t>FXHGMKSSBGDXIY-UHFFFAOYSA-N</t>
  </si>
  <si>
    <t>ZCCUUQDIBDJBTK-UHFFFAOYSA-N</t>
  </si>
  <si>
    <t>Coumarins and derivatives</t>
  </si>
  <si>
    <t>Furanocoumarins</t>
  </si>
  <si>
    <t>Linear furanocoumarins</t>
  </si>
  <si>
    <t>Psoralens</t>
  </si>
  <si>
    <t>XDROKJSWHURZGO-UHFFFAOYSA-N</t>
  </si>
  <si>
    <t>Angular furanocoumarins</t>
  </si>
  <si>
    <t>YNKQMZRTPPVLLL-UHFFFAOYSA-N</t>
  </si>
  <si>
    <t>Dihydrofurans</t>
  </si>
  <si>
    <t>Furanones</t>
  </si>
  <si>
    <t>Butenolides</t>
  </si>
  <si>
    <t>RHDGNLCLDBVESU-UHFFFAOYSA-N</t>
  </si>
  <si>
    <t>YVBAUDVGOFCUSG-UHFFFAOYSA-N</t>
  </si>
  <si>
    <t>HFJRKMMYBMWEAD-UHFFFAOYSA-N</t>
  </si>
  <si>
    <t>KMPQYAYAQWNLME-UHFFFAOYSA-N</t>
  </si>
  <si>
    <t>KSMVZQYAVGTKIV-UHFFFAOYSA-N</t>
  </si>
  <si>
    <t>GYHFUZHODSMOHU-UHFFFAOYSA-N</t>
  </si>
  <si>
    <t>FXLOVSHXALFLKQ-UHFFFAOYSA-N</t>
  </si>
  <si>
    <t>Monocyclic monoterpenoids</t>
  </si>
  <si>
    <t>MWOOGOJBHIARFG-UHFFFAOYSA-N</t>
  </si>
  <si>
    <t>WTWBUQJHJGUZCY-UHFFFAOYSA-N</t>
  </si>
  <si>
    <t>Aromatic monoterpenoids</t>
  </si>
  <si>
    <t>ZRSNZINYAWTAHE-UHFFFAOYSA-N</t>
  </si>
  <si>
    <t>YGHRJJRRZDOVPD-UHFFFAOYSA-N</t>
  </si>
  <si>
    <t>Alpha-hydrogen aldehydes</t>
  </si>
  <si>
    <t>DKZBBWMURDFHNE-NSCUHMNNSA-N</t>
  </si>
  <si>
    <t>KJPRLNWUNMBNBZ-DAXSKMNVSA-N</t>
  </si>
  <si>
    <t>Cinnamaldehydes</t>
  </si>
  <si>
    <t>KJPRLNWUNMBNBZ-QPJJXVBHSA-N</t>
  </si>
  <si>
    <t>HGINCPLSRVDWNT-UHFFFAOYSA-N</t>
  </si>
  <si>
    <t>MLUCVPSAIODCQM-NSCUHMNNSA-N</t>
  </si>
  <si>
    <t>YGFGZTXGYTUXBA-UHFFFAOYSA-N</t>
  </si>
  <si>
    <t>OUDFNZMQXZILJD-UHFFFAOYSA-N</t>
  </si>
  <si>
    <t>Lactones</t>
  </si>
  <si>
    <t>Gamma butyrolactones</t>
  </si>
  <si>
    <t>HYBBIBNJHNGZAN-UHFFFAOYSA-N</t>
  </si>
  <si>
    <t>LNKQTTQZURKWDO-UHFFFAOYSA-N</t>
  </si>
  <si>
    <t>YNAVUWVOSKDBBP-UHFFFAOYSA-N</t>
  </si>
  <si>
    <t>Oxazinanes</t>
  </si>
  <si>
    <t>Morpholines</t>
  </si>
  <si>
    <t>DTUQWGWMVIHBKE-UHFFFAOYSA-N</t>
  </si>
  <si>
    <t>Phenylacetaldehydes</t>
  </si>
  <si>
    <t>SATICYYAWWYRAM-VNKDHWASSA-N</t>
  </si>
  <si>
    <t>FWWQKRXKHIRPJY-UHFFFAOYSA-N</t>
  </si>
  <si>
    <t>Fatty aldehydes</t>
  </si>
  <si>
    <t>OGCGGWYLHSJRFY-UHFFFAOYSA-N</t>
  </si>
  <si>
    <t>CWKYCXPGVIFXOH-UHFFFAOYSA-N</t>
  </si>
  <si>
    <t>IKHGUXGNUITLKF-UHFFFAOYSA-N</t>
  </si>
  <si>
    <t>Short-chain aldehydes</t>
  </si>
  <si>
    <t>YGCZTXZTJXYWCO-UHFFFAOYSA-N</t>
  </si>
  <si>
    <t>HSJKGGMUJITCBW-UHFFFAOYSA-N</t>
  </si>
  <si>
    <t>Beta-hydroxy aldehydes</t>
  </si>
  <si>
    <t>YAAIPCQYJYPITK-UHFFFAOYSA-N</t>
  </si>
  <si>
    <t>Alkaloids and derivatives</t>
  </si>
  <si>
    <t>Aspidospermatan-type alkaloids</t>
  </si>
  <si>
    <t>NNJPGOLRFBJNIW-HNNXBMFYSA-N</t>
  </si>
  <si>
    <t>Hydrocarbon derivatives</t>
  </si>
  <si>
    <t>Tropones</t>
  </si>
  <si>
    <t>REDFKTMHKJZVCQ-QLKAYGNNSA-N</t>
  </si>
  <si>
    <t>Vobasan alkaloids</t>
  </si>
  <si>
    <t>CMEGANPVAXDBPL-INIZCTEOSA-N</t>
  </si>
  <si>
    <t>NHTMVDHEPJAVLT-UHFFFAOYSA-N</t>
  </si>
  <si>
    <t>Hydrocarbons</t>
  </si>
  <si>
    <t>Saturated hydrocarbons</t>
  </si>
  <si>
    <t>Alkanes</t>
  </si>
  <si>
    <t>Branched alkanes</t>
  </si>
  <si>
    <t>BVGNABNQQZPWPX-BZZOAKBMSA-N</t>
  </si>
  <si>
    <t>Unsaturated hydrocarbons</t>
  </si>
  <si>
    <t>Unsaturated aliphatic hydrocarbons</t>
  </si>
  <si>
    <t>QUSNBJAOOMFDIB-UHFFFAOYSA-N</t>
  </si>
  <si>
    <t>Organic nitrogen compounds</t>
  </si>
  <si>
    <t>Organonitrogen compounds</t>
  </si>
  <si>
    <t>Amines</t>
  </si>
  <si>
    <t>Primary amines</t>
  </si>
  <si>
    <t>Monoalkylamines</t>
  </si>
  <si>
    <t>RZXMPPFPUUCRFN-UHFFFAOYSA-N</t>
  </si>
  <si>
    <t>Toluenes</t>
  </si>
  <si>
    <t>Aminotoluenes</t>
  </si>
  <si>
    <t>UEEJHVSXFDXPFK-UHFFFAOYSA-N</t>
  </si>
  <si>
    <t>Alkanolamines</t>
  </si>
  <si>
    <t>1,2-aminoalcohols</t>
  </si>
  <si>
    <t>KHCZSJXTDDHLGJ-UHFFFAOYSA-N</t>
  </si>
  <si>
    <t>Aniline and substituted anilines</t>
  </si>
  <si>
    <t>KKRYHFRCHYNPSA-UHFFFAOYSA-N</t>
  </si>
  <si>
    <t>Diazanaphthalenes</t>
  </si>
  <si>
    <t>Benzodiazines</t>
  </si>
  <si>
    <t>Quinazolines</t>
  </si>
  <si>
    <t>Quinazolinamines</t>
  </si>
  <si>
    <t>AGPKZVBTJJNPAG-WHFBIAKZSA-N</t>
  </si>
  <si>
    <t>Amino acids, peptides, and analogues</t>
  </si>
  <si>
    <t>Amino acids and derivatives</t>
  </si>
  <si>
    <t>Alpha amino acids and derivatives</t>
  </si>
  <si>
    <t>Isoleucine and derivatives</t>
  </si>
  <si>
    <t>KZSNJWFQEVHDMF-BYPYZUCNSA-N</t>
  </si>
  <si>
    <t>Valine and derivatives</t>
  </si>
  <si>
    <t>QIVBCDIJIAJPQS-VIFPVBQESA-N</t>
  </si>
  <si>
    <t>Indoles and derivatives</t>
  </si>
  <si>
    <t>Indolyl carboxylic acids and derivatives</t>
  </si>
  <si>
    <t>COLNVLDHVKWLRT-QMMMGPOBSA-N</t>
  </si>
  <si>
    <t>Phenylalanine and derivatives</t>
  </si>
  <si>
    <t>OUYCCCASQSFEME-QMMMGPOBSA-N</t>
  </si>
  <si>
    <t>Tyrosine and derivatives</t>
  </si>
  <si>
    <t>HNDVDQJCIGZPNO-YFKPBYRVSA-N</t>
  </si>
  <si>
    <t>Histidine and derivatives</t>
  </si>
  <si>
    <t>PMMYEEVYMWASQN-DMTCNVIQSA-N</t>
  </si>
  <si>
    <t>Proline and derivatives</t>
  </si>
  <si>
    <t>Alanine and derivatives</t>
  </si>
  <si>
    <t>AYFVYJQAPQTCCC-GBXIJSLDSA-N</t>
  </si>
  <si>
    <t>Alpha amino acids</t>
  </si>
  <si>
    <t>L-alpha-amino acids</t>
  </si>
  <si>
    <t>BTCSSZJGUNDROE-UHFFFAOYSA-N</t>
  </si>
  <si>
    <t>Gamma amino acids and derivatives</t>
  </si>
  <si>
    <t>WHUUTDBJXJRKMK-VKHMYHEASA-N</t>
  </si>
  <si>
    <t>Glutamic acid and derivatives</t>
  </si>
  <si>
    <t>LEVWYRKDKASIDU-UHFFFAOYSA-N</t>
  </si>
  <si>
    <t>Cysteine and derivatives</t>
  </si>
  <si>
    <t>LEVWYRKDKASIDU-IMJSIDKUSA-N</t>
  </si>
  <si>
    <t>L-cysteine-S-conjugates</t>
  </si>
  <si>
    <t>ROHFNLRQFUQHCH-YFKPBYRVSA-N</t>
  </si>
  <si>
    <t>Leucine and derivatives</t>
  </si>
  <si>
    <t>QNAYBMKLOCPYGJ-REOHCLBHSA-N</t>
  </si>
  <si>
    <t>UCMIRNVEIXFBKS-UHFFFAOYSA-N</t>
  </si>
  <si>
    <t>Beta amino acids and derivatives</t>
  </si>
  <si>
    <t>KDXKERNSBIXSRK-YFKPBYRVSA-N</t>
  </si>
  <si>
    <t>ODKSFYDXXFIFQN-BYPYZUCNSA-N</t>
  </si>
  <si>
    <t>AHLPHDHHMVZTML-BYPYZUCNSA-N</t>
  </si>
  <si>
    <t>DHMQDGOQFOQNFH-UHFFFAOYSA-N</t>
  </si>
  <si>
    <t>LEVWYRKDKASIDU-QWWZWVQMSA-N</t>
  </si>
  <si>
    <t>LEVWYRKDKASIDU-ZXZARUISSA-N</t>
  </si>
  <si>
    <t>FFEARJCKVFRZRR-UHFFFAOYSA-N</t>
  </si>
  <si>
    <t>Methionine and derivatives</t>
  </si>
  <si>
    <t>FFEARJCKVFRZRR-SCSAIBSYSA-N</t>
  </si>
  <si>
    <t>KQSSATDQUYCRGS-UHFFFAOYSA-N</t>
  </si>
  <si>
    <t>Alpha amino acid esters</t>
  </si>
  <si>
    <t>FFEARJCKVFRZRR-BYPYZUCNSA-N</t>
  </si>
  <si>
    <t>FSYKKLYZXJSNPZ-UHFFFAOYSA-N</t>
  </si>
  <si>
    <t>ONIBWKKTOPOVIA-BYPYZUCNSA-N</t>
  </si>
  <si>
    <t>NGSWKAQJJWESNS-ZZXKWVIFSA-M</t>
  </si>
  <si>
    <t>Cinnamic acids and derivatives</t>
  </si>
  <si>
    <t>Hydroxycinnamic acids and derivatives</t>
  </si>
  <si>
    <t>Hydroxycinnamic acids</t>
  </si>
  <si>
    <t>OVSQVDMCBVZWGM-QSOFNFLRSA-M</t>
  </si>
  <si>
    <t>Flavonoid glycosides</t>
  </si>
  <si>
    <t>Flavonoid O-glycosides</t>
  </si>
  <si>
    <t>Flavonoid-3-O-glycosides</t>
  </si>
  <si>
    <t>QAIPRVGONGVQAS-DUXPYHPUSA-M</t>
  </si>
  <si>
    <t>OYRRZWATULMEPF-UHFFFAOYSA-N</t>
  </si>
  <si>
    <t>Diazines</t>
  </si>
  <si>
    <t>Pyrimidines and pyrimidine derivatives</t>
  </si>
  <si>
    <t>Hydropyrimidines</t>
  </si>
  <si>
    <t>NJXYTXADXSRFTJ-UHFFFAOYSA-N</t>
  </si>
  <si>
    <t>RWGFKTVRMDUZSP-UHFFFAOYSA-N</t>
  </si>
  <si>
    <t>Cumenes</t>
  </si>
  <si>
    <t>HVGZQCSMLUDISR-UHFFFAOYSA-N</t>
  </si>
  <si>
    <t>PJANXHGTPQOBST-VAWYXSNFSA-N</t>
  </si>
  <si>
    <t>Stilbenes</t>
  </si>
  <si>
    <t>FEIQOMCWGDNMHM-KBXRYBNXSA-N</t>
  </si>
  <si>
    <t>Styrenes</t>
  </si>
  <si>
    <t>CRZQGDNQQAALAY-UHFFFAOYSA-N</t>
  </si>
  <si>
    <t>UEXCJVNBTNXOEH-UHFFFAOYSA-N</t>
  </si>
  <si>
    <t>MBRLOUHOWLUMFF-UHFFFAOYSA-N</t>
  </si>
  <si>
    <t>SRBFZHDQGSBBOR-AGQMPKSLSA-N</t>
  </si>
  <si>
    <t>Pentoses</t>
  </si>
  <si>
    <t>SRBFZHDQGSBBOR-IOVATXLUSA-N</t>
  </si>
  <si>
    <t>WQZGKKKJIJFFOK-GASJEMHNSA-N</t>
  </si>
  <si>
    <t>Hexoses</t>
  </si>
  <si>
    <t>WQZGKKKJIJFFOK-WHZQZERISA-N</t>
  </si>
  <si>
    <t>AVVWPBAENSWJCB-IVMDWMLBSA-N</t>
  </si>
  <si>
    <t>HMFHBZSHGGEWLO-HWQSCIPKSA-N</t>
  </si>
  <si>
    <t>WQZGKKKJIJFFOK-JFNONXLTSA-N</t>
  </si>
  <si>
    <t>OHEYCHKLBCPRLZ-DUXPYHPUSA-N</t>
  </si>
  <si>
    <t>TWNIBLMWSKIRAT-UHFFFAOYSA-N</t>
  </si>
  <si>
    <t>Oxepanes</t>
  </si>
  <si>
    <t>PNNNRSAQSRJVSB-KCDKBNATSA-N</t>
  </si>
  <si>
    <t>LKDRXBCSQODPBY-AMVSKUEXSA-N</t>
  </si>
  <si>
    <t>HSNZZMHEPUFJNZ-SHUUEZRQSA-N</t>
  </si>
  <si>
    <t>Heptoses</t>
  </si>
  <si>
    <t>RFSUNEUAIZKAJO-VRPWFDPXSA-N</t>
  </si>
  <si>
    <t>C-glycosyl compounds</t>
  </si>
  <si>
    <t>GUBGYTABKSRVRQ-GXGLMDGZSA-N</t>
  </si>
  <si>
    <t>O-glycosyl compounds</t>
  </si>
  <si>
    <t>GUBGYTABKSRVRQ-UHFFFAOYSA-N</t>
  </si>
  <si>
    <t>Flavonoid C-glycosides</t>
  </si>
  <si>
    <t>Flavonoid 8-C-glycosides</t>
  </si>
  <si>
    <t>YNMFDPCLPIMRFD-KSPKLRDJSA-N</t>
  </si>
  <si>
    <t>WQZGKKKJIJFFOK-QTVWNMPRSA-N</t>
  </si>
  <si>
    <t>RFSUNEUAIZKAJO-ARQDHWQXSA-N</t>
  </si>
  <si>
    <t>WQZGKKKJIJFFOK-SVZMEOIVSA-N</t>
  </si>
  <si>
    <t>GUBGYTABKSRVRQ-NHZWCLGGSA-N</t>
  </si>
  <si>
    <t>GUBGYTABKSRVRQ-PICCSMPSSA-N</t>
  </si>
  <si>
    <t>GUBGYTABKSRVRQ-QUYVBRFLSA-N</t>
  </si>
  <si>
    <t>GUBGYTABKSRVRQ-DKBJLJRDSA-N</t>
  </si>
  <si>
    <t>GUBGYTABKSRVRQ-ASMJPISFSA-N</t>
  </si>
  <si>
    <t>CZMRCDWAGMRECN-UGDNZRGBSA-N</t>
  </si>
  <si>
    <t>WQZGKKKJIJFFOK-VFUOTHLCSA-N</t>
  </si>
  <si>
    <t>FBPFZTCFMRRESA-GUCUJZIJSA-N</t>
  </si>
  <si>
    <t>Sugar alcohols</t>
  </si>
  <si>
    <t>UNXHWFMMPAWVPI-ZXZARUISSA-N</t>
  </si>
  <si>
    <t>GUBGYTABKSRVRQ-LUOHZERUSA-N</t>
  </si>
  <si>
    <t>QUKGYYKBILRGFE-UHFFFAOYSA-N</t>
  </si>
  <si>
    <t>Benzyloxycarbonyls</t>
  </si>
  <si>
    <t>GTZCVFVGUGFEME-HNQUOIGGSA-N</t>
  </si>
  <si>
    <t>Tricarboxylic acids and derivatives</t>
  </si>
  <si>
    <t>QQVIHTHCMHWDBS-UHFFFAOYSA-N</t>
  </si>
  <si>
    <t>Benzoic acids and derivatives</t>
  </si>
  <si>
    <t>Phthalic acid and derivatives</t>
  </si>
  <si>
    <t>M-phthalic acid and derivatives</t>
  </si>
  <si>
    <t>ULTBCADWJVQRCF-QWHCGFSZSA-N</t>
  </si>
  <si>
    <t>CFFZDZCDUFSOFZ-UHFFFAOYSA-N</t>
  </si>
  <si>
    <t>Catechols</t>
  </si>
  <si>
    <t>IGMNYECMUMZDDF-UHFFFAOYSA-N</t>
  </si>
  <si>
    <t>Phenylacetic acids</t>
  </si>
  <si>
    <t>2(hydroxyphenyl)acetic acids</t>
  </si>
  <si>
    <t>VZCYOOQTPOCHFL-OWOJBTEDSA-N</t>
  </si>
  <si>
    <t>Dicarboxylic acids and derivatives</t>
  </si>
  <si>
    <t>TTYOHMFLCXENHR-GQCTYLIASA-N</t>
  </si>
  <si>
    <t>Coumaric acids and derivatives</t>
  </si>
  <si>
    <t>ADFWQBGTDJIESE-UHFFFAOYSA-N</t>
  </si>
  <si>
    <t>Hydroxybenzoic acid derivatives</t>
  </si>
  <si>
    <t>Salicylic acid and derivatives</t>
  </si>
  <si>
    <t>Salicylic acids</t>
  </si>
  <si>
    <t>KBDZCYDPGRYCRM-UHFFFAOYSA-N</t>
  </si>
  <si>
    <t>Fatty acids and conjugates</t>
  </si>
  <si>
    <t>Long-chain fatty acids</t>
  </si>
  <si>
    <t>ZCTQGTTXIYCGGC-UHFFFAOYSA-N</t>
  </si>
  <si>
    <t>Benzoic acid esters</t>
  </si>
  <si>
    <t>o-Hydroxybenzoic acid esters</t>
  </si>
  <si>
    <t>SESFRYSPDFLNCH-UHFFFAOYSA-N</t>
  </si>
  <si>
    <t>OHEYCHKLBCPRLZ-VHCZEJTMSA-N</t>
  </si>
  <si>
    <t>OLSDAJRAVOVKLG-UHFFFAOYSA-N</t>
  </si>
  <si>
    <t>1-hydroxy-4-unsubstituted benzenoids</t>
  </si>
  <si>
    <t>ZWLPBLYKEWSWPD-UHFFFAOYSA-N</t>
  </si>
  <si>
    <t>Benzoic acids</t>
  </si>
  <si>
    <t>Cyclic alcohols and derivatives</t>
  </si>
  <si>
    <t>Cyclitols and derivatives</t>
  </si>
  <si>
    <t>Quinic acids and derivatives</t>
  </si>
  <si>
    <t>YDDUMTOHNYZQPO-RVXRWRFUSA-N</t>
  </si>
  <si>
    <t>UFCLZKMFXSILNL-RVXRWRFUSA-N</t>
  </si>
  <si>
    <t>AAWZDTNXLSGCEK-LNVDRNJUSA-N</t>
  </si>
  <si>
    <t>UFCLZKMFXSILNL-PSEXTPKNSA-N</t>
  </si>
  <si>
    <t>DJDSLBVSSOQSLW-UHFFFAOYSA-N</t>
  </si>
  <si>
    <t>FEWJPZIEWOKRBE-UHFFFAOYSA-N</t>
  </si>
  <si>
    <t>Sugar acids and derivatives</t>
  </si>
  <si>
    <t>KRZBCHWVBQOTNZ-RDJMKVHDSA-N</t>
  </si>
  <si>
    <t>WWVKQTNONPWVEL-VQHVLOKHSA-N</t>
  </si>
  <si>
    <t>Hydroxycinnamic acid esters</t>
  </si>
  <si>
    <t>Coumaric acid esters</t>
  </si>
  <si>
    <t>UFCLZKMFXSILNL-WVFSXIJASA-N</t>
  </si>
  <si>
    <t>UFCLZKMFXSILNL-BBLPPJRLSA-N</t>
  </si>
  <si>
    <t>UFCLZKMFXSILNL-UHFFFAOYSA-N</t>
  </si>
  <si>
    <t>UFCLZKMFXSILNL-FCXRPNKRSA-N</t>
  </si>
  <si>
    <t>KDYFGRWQOYBRFD-UHFFFAOYSA-N</t>
  </si>
  <si>
    <t>QEVGZEDELICMKH-UHFFFAOYSA-N</t>
  </si>
  <si>
    <t>QYCOHMYDSOZCQD-GWEOMKHGSA-N</t>
  </si>
  <si>
    <t>Diterpenoids</t>
  </si>
  <si>
    <t>BJEPYKJPYRNKOW-UHFFFAOYSA-N</t>
  </si>
  <si>
    <t>Hydroxy acids and derivatives</t>
  </si>
  <si>
    <t>Beta hydroxy acids and derivatives</t>
  </si>
  <si>
    <t>RGHNJXZEOKUKBD-SQOUGZDYSA-N</t>
  </si>
  <si>
    <t>YHXHKYRQLYQUIH-UHFFFAOYSA-N</t>
  </si>
  <si>
    <t>1-hydroxy-2-unsubstituted benzenoids</t>
  </si>
  <si>
    <t>JPIJQSOTBSSVTP-UHFFFAOYSA-N</t>
  </si>
  <si>
    <t>QTBSBXVTEAMEQO-UHFFFAOYSA-N</t>
  </si>
  <si>
    <t>Carboxylic acids</t>
  </si>
  <si>
    <t>NIXOWILDQLNWCW-UHFFFAOYSA-N</t>
  </si>
  <si>
    <t>Acrylic acids and derivatives</t>
  </si>
  <si>
    <t>Acrylic acids</t>
  </si>
  <si>
    <t>JVTAAEKCZFNVCJ-REOHCLBHSA-N</t>
  </si>
  <si>
    <t>Alpha hydroxy acids and derivatives</t>
  </si>
  <si>
    <t>WLJVXDMOQOGPHL-UHFFFAOYSA-N</t>
  </si>
  <si>
    <t>NMHMNPHRMNGLLB-UHFFFAOYSA-N</t>
  </si>
  <si>
    <t>Phenylpropanoic acids</t>
  </si>
  <si>
    <t>QTBSBXVTEAMEQO-UHFFFAOYSA-M</t>
  </si>
  <si>
    <t>SEOVTRFCIGRIMH-UHFFFAOYSA-N</t>
  </si>
  <si>
    <t>Indole-3-acetic acid derivatives</t>
  </si>
  <si>
    <t>KABCFARPAMSXCC-JXMROGBWSA-N</t>
  </si>
  <si>
    <t>KRKNYBCHXYNGOX-UHFFFAOYSA-N</t>
  </si>
  <si>
    <t>RBNPOMFGQQGHHO-UHFFFAOYSA-N</t>
  </si>
  <si>
    <t>OFOBLEOULBTSOW-UHFFFAOYSA-N</t>
  </si>
  <si>
    <t>DOYKMKZYLAAOGH-DOEMEAPXSA-N</t>
  </si>
  <si>
    <t>KBEBGUQPQBELIU-CMDGGOBGSA-N</t>
  </si>
  <si>
    <t>Cinnamic acid esters</t>
  </si>
  <si>
    <t>BBTRQSDRTFFNSW-UHFFFAOYSA-N</t>
  </si>
  <si>
    <t>OCUAPVNNQFAQSM-UHFFFAOYSA-N</t>
  </si>
  <si>
    <t>LYJHVEDILOKZCG-UHFFFAOYSA-N</t>
  </si>
  <si>
    <t>OSORMYZMWHVFOZ-UHFFFAOYSA-N</t>
  </si>
  <si>
    <t>ZOQCEVXVQCPESC-VMPITWQZSA-N</t>
  </si>
  <si>
    <t>ATJVZXXHKSYELS-FNORWQNLSA-N</t>
  </si>
  <si>
    <t>NGHOLYJTSCBCGC-VAWYXSNFSA-N</t>
  </si>
  <si>
    <t>NQBWNECTZUOWID-MZXMXVKLSA-N</t>
  </si>
  <si>
    <t>GRZQNEYQRVPNRY-WUZDHUPESA-N</t>
  </si>
  <si>
    <t>CVAKJSOPBHAACB-FNORWQNLSA-N</t>
  </si>
  <si>
    <t>FBUBVLUPUDBFME-UHFFFAOYSA-N</t>
  </si>
  <si>
    <t>XXIKYCPRDXIMQM-UHFFFAOYSA-N</t>
  </si>
  <si>
    <t>UYWQUFXKFGHYNT-UHFFFAOYSA-N</t>
  </si>
  <si>
    <t>QVPHNABUSKBIMG-UHFFFAOYSA-N</t>
  </si>
  <si>
    <t>GVJHHUAWPYXKBD-UHFFFAOYSA-N</t>
  </si>
  <si>
    <t>Quinone and hydroquinone lipids</t>
  </si>
  <si>
    <t>Vitamin E compounds</t>
  </si>
  <si>
    <t>Tocopherols</t>
  </si>
  <si>
    <t>GVJHHUAWPYXKBD-IEOSBIPESA-N</t>
  </si>
  <si>
    <t>SUSQOBVLVYHIEX-UHFFFAOYSA-N</t>
  </si>
  <si>
    <t>Benzyl cyanides</t>
  </si>
  <si>
    <t>DYODAJAEQDVYFX-UHFFFAOYSA-N</t>
  </si>
  <si>
    <t>Pyrimidones</t>
  </si>
  <si>
    <t>Barbituric acid derivatives</t>
  </si>
  <si>
    <t>HWGBHCRJGXAGEU-UHFFFAOYSA-N</t>
  </si>
  <si>
    <t>LKQMMFFQYMYQOJ-SFDCQRBFSA-N</t>
  </si>
  <si>
    <t>Elemane sesquiterpenoids</t>
  </si>
  <si>
    <t>OOWQBDFWEXAXPB-UHFFFAOYSA-N</t>
  </si>
  <si>
    <t>Glycerolipids</t>
  </si>
  <si>
    <t>Monoradylglycerols</t>
  </si>
  <si>
    <t>Monoalkylglycerols</t>
  </si>
  <si>
    <t>XXFZUZXCHYDOJO-FYWRMAATSA-N</t>
  </si>
  <si>
    <t>Phenol ethers</t>
  </si>
  <si>
    <t>Anisoles</t>
  </si>
  <si>
    <t>RIZBLVRXRWHLFA-UHFFFAOYSA-N</t>
  </si>
  <si>
    <t>RUVINXPYWBROJD-ARJAWSKDSA-N</t>
  </si>
  <si>
    <t>RKFAZBXYICVSKP-WAYWQWQTSA-N</t>
  </si>
  <si>
    <t>NNWHUJCUHAELCL-PLNGDYQASA-N</t>
  </si>
  <si>
    <t>RUVINXPYWBROJD-ONEGZZNKSA-N</t>
  </si>
  <si>
    <t>OGBUMNBNEWYMNJ-UHFFFAOYSA-N</t>
  </si>
  <si>
    <t>JELGPLUONQGOHF-KTKRTIGZSA-N</t>
  </si>
  <si>
    <t>Fatty acid esters</t>
  </si>
  <si>
    <t>WLAMNBDJUVNPJU-UHFFFAOYSA-N</t>
  </si>
  <si>
    <t>Branched fatty acids</t>
  </si>
  <si>
    <t>Methyl-branched fatty acids</t>
  </si>
  <si>
    <t>CFNJLPHOBMVMNS-UHFFFAOYSA-N</t>
  </si>
  <si>
    <t>PQLMXFQTAMDXIZ-UHFFFAOYSA-N</t>
  </si>
  <si>
    <t>MMKRHZKQPFCLLS-UHFFFAOYSA-N</t>
  </si>
  <si>
    <t>RGXWDWUGBIJHDO-UHFFFAOYSA-N</t>
  </si>
  <si>
    <t>YYZUSRORWSJGET-UHFFFAOYSA-N</t>
  </si>
  <si>
    <t>MMXKVMNBHPAILY-UHFFFAOYSA-N</t>
  </si>
  <si>
    <t>UQDUPQYQJKYHQI-UHFFFAOYSA-N</t>
  </si>
  <si>
    <t>Fatty acid methyl esters</t>
  </si>
  <si>
    <t>KETXCPXJKBEFCO-UHFFFAOYSA-N</t>
  </si>
  <si>
    <t>BYEVBITUADOIGY-UHFFFAOYSA-N</t>
  </si>
  <si>
    <t>FMMOOAYVCKXGMF-MURFETPASA-N</t>
  </si>
  <si>
    <t>Lineolic acids and derivatives</t>
  </si>
  <si>
    <t>HHZIOLLKZWLCOX-UHFFFAOYSA-N</t>
  </si>
  <si>
    <t>YRHYCMZPEVDGFQ-UHFFFAOYSA-N</t>
  </si>
  <si>
    <t>VHUJBYYFFWDLNM-UHFFFAOYSA-N</t>
  </si>
  <si>
    <t>QSQLTHHMFHEFIY-UHFFFAOYSA-N</t>
  </si>
  <si>
    <t>AJRICDSAJQHDSD-UHFFFAOYSA-N</t>
  </si>
  <si>
    <t>FXCDESKKWMGGON-KHPPLWFESA-N</t>
  </si>
  <si>
    <t>JGHZJRVDZXSNKQ-UHFFFAOYSA-N</t>
  </si>
  <si>
    <t>WWZKQHOCKIZLMA-UHFFFAOYSA-N</t>
  </si>
  <si>
    <t>Medium-chain fatty acids</t>
  </si>
  <si>
    <t>XUDJZDNUVZHSKZ-UHFFFAOYSA-N</t>
  </si>
  <si>
    <t>HUEBIMLTDXKIPR-UHFFFAOYSA-N</t>
  </si>
  <si>
    <t>FXCDESKKWMGGON-UHFFFAOYSA-N</t>
  </si>
  <si>
    <t>JNDDPBOKWCBQSM-UHFFFAOYSA-N</t>
  </si>
  <si>
    <t>FLIACVVOZYBSBS-UHFFFAOYSA-N</t>
  </si>
  <si>
    <t>ZAZKJZBWRNNLDS-UHFFFAOYSA-N</t>
  </si>
  <si>
    <t>IZFGRAGOVZCUFB-HJWRWDBZSA-N</t>
  </si>
  <si>
    <t>ZKHOYAKAFALNQD-UHFFFAOYSA-N</t>
  </si>
  <si>
    <t>BIRUBGLRQLAEFF-UHFFFAOYSA-N</t>
  </si>
  <si>
    <t>QYDYPVFESGNLHU-KHPPLWFESA-N</t>
  </si>
  <si>
    <t>QGBRLVONZXHAKJ-UHFFFAOYSA-N</t>
  </si>
  <si>
    <t>LVGKNOAMLMIIKO-QXMHVHEDSA-N</t>
  </si>
  <si>
    <t>BITHHVVYSMSWAG-KTKRTIGZSA-N</t>
  </si>
  <si>
    <t>PVVODBCDJBGMJL-CMDGGOBGSA-N</t>
  </si>
  <si>
    <t>YWWVWXASSLXJHU-UHFFFAOYSA-N</t>
  </si>
  <si>
    <t>NEJDKFPXHQRVMV-UHFFFAOYSA-N</t>
  </si>
  <si>
    <t>HZYHMHHBBBSGHB-ODYTWBPASA-N</t>
  </si>
  <si>
    <t>GDTXICBNEOEPAZ-FPLPWBNLSA-N</t>
  </si>
  <si>
    <t>OMQAAHBXTQQRLA-UHFFFAOYSA-N</t>
  </si>
  <si>
    <t>Wax esters</t>
  </si>
  <si>
    <t>Wax monoesters</t>
  </si>
  <si>
    <t>XIRNKXNNONJFQO-UHFFFAOYSA-N</t>
  </si>
  <si>
    <t>SECPZKHBENQXJG-FPLPWBNLSA-N</t>
  </si>
  <si>
    <t>SECPZKHBENQXJG-BQYQJAHWSA-N</t>
  </si>
  <si>
    <t>POMQYTSPMKEQNB-UHFFFAOYSA-N</t>
  </si>
  <si>
    <t>XSXIVVZCUAHUJO-HZJYTTRNSA-N</t>
  </si>
  <si>
    <t>YZXBAPSDXZZRGB-DOFZRALJSA-N</t>
  </si>
  <si>
    <t>FKUPPRZPSYCDRS-UHFFFAOYSA-N</t>
  </si>
  <si>
    <t>Macrolides and analogues</t>
  </si>
  <si>
    <t>OOTMSKDHDITFHF-UHFFFAOYSA-N</t>
  </si>
  <si>
    <t>Cycloalkanes</t>
  </si>
  <si>
    <t>DDTBPAQBQHZRDW-UHFFFAOYSA-N</t>
  </si>
  <si>
    <t>UCPNHIPCCLLQGA-UHFFFAOYSA-N</t>
  </si>
  <si>
    <t>OYHQOLUKZRVURQ-UHFFFAOYSA-N</t>
  </si>
  <si>
    <t>VZCCETWTMQHEPK-QNEBEIHSSA-N</t>
  </si>
  <si>
    <t>MZPDTOMKQCMETI-YHYXMXQVSA-N</t>
  </si>
  <si>
    <t>UIERETOOQGIECD-ARJAWSKDSA-N</t>
  </si>
  <si>
    <t>YYPNJNDODFVZLE-UHFFFAOYSA-N</t>
  </si>
  <si>
    <t>ZQPPMHVWECSIRJ-KTKRTIGZSA-N</t>
  </si>
  <si>
    <t>OYHQOLUKZRVURQ-HZJYTTRNSA-N</t>
  </si>
  <si>
    <t>OYHQOLUKZRVURQ-KQHSAVHASA-N</t>
  </si>
  <si>
    <t>MVLVMROFTAUDAG-UHFFFAOYSA-N</t>
  </si>
  <si>
    <t>ZPWFUIUNWDIYCJ-UHFFFAOYSA-N</t>
  </si>
  <si>
    <t>HPEUJPJOZXNMSJ-UHFFFAOYSA-N</t>
  </si>
  <si>
    <t>LKOVPWSSZFDYPG-WUKNDPDISA-N</t>
  </si>
  <si>
    <t>CNVZJPUDSLNTQU-OUKQBFOZSA-N</t>
  </si>
  <si>
    <t>ZQPPMHVWECSIRJ-MDZDMXLPSA-N</t>
  </si>
  <si>
    <t>ZQPPMHVWECSIRJ-UHFFFAOYSA-N</t>
  </si>
  <si>
    <t>WRIDQFICGBMAFQ-ZHACJKMWSA-N</t>
  </si>
  <si>
    <t>HOGWBMWOBRRKCD-BUHFOSPRSA-N</t>
  </si>
  <si>
    <t>APXSAEQXOXTDAM-WAYWQWQTSA-N</t>
  </si>
  <si>
    <t>DTOSIQBPPRVQHS-IUQGRGSQSA-N</t>
  </si>
  <si>
    <t>FATBGEAMYMYZAF-KTKRTIGZSA-N</t>
  </si>
  <si>
    <t>Fatty amides</t>
  </si>
  <si>
    <t>WLAMNBDJUVNPJU-UHFFFAOYSA-M</t>
  </si>
  <si>
    <t>UWHZIFQPPBDJPM-FPLPWBNLSA-N</t>
  </si>
  <si>
    <t>UKMSUNONTOPOIO-UHFFFAOYSA-N</t>
  </si>
  <si>
    <t>Very long-chain fatty acids</t>
  </si>
  <si>
    <t>CKDDRHZIAZRDBW-UHFFFAOYSA-N</t>
  </si>
  <si>
    <t>VKOBVWXKNCXXDE-UHFFFAOYSA-N</t>
  </si>
  <si>
    <t>QIQXTHQIDYTFRH-UHFFFAOYSA-N</t>
  </si>
  <si>
    <t>KEMQGTRYUADPNZ-UHFFFAOYSA-N</t>
  </si>
  <si>
    <t>IPCSVZSSVZVIGE-UHFFFAOYSA-N</t>
  </si>
  <si>
    <t>WQEPLUUGTLDZJY-UHFFFAOYSA-N</t>
  </si>
  <si>
    <t>TUNFSRHWOTWDNC-UHFFFAOYSA-N</t>
  </si>
  <si>
    <t>SZHOJFHSIKHZHA-UHFFFAOYSA-N</t>
  </si>
  <si>
    <t>NQPDZGIKBAWPEJ-UHFFFAOYSA-N</t>
  </si>
  <si>
    <t>Straight chain fatty acids</t>
  </si>
  <si>
    <t>FERIUCNNQQJTOY-UHFFFAOYSA-N</t>
  </si>
  <si>
    <t>GWHCXVQVJPWHRF-KTKRTIGZSA-N</t>
  </si>
  <si>
    <t>YWWVWXASSLXJHU-AATRIKPKSA-N</t>
  </si>
  <si>
    <t>ADHNUPOJJCKWRT-JLXBFWJWSA-N</t>
  </si>
  <si>
    <t>JQXGCBKGIBTCHY-PDBXOOCHSA-N</t>
  </si>
  <si>
    <t>KQNPFQTWMSNSAP-UHFFFAOYSA-N</t>
  </si>
  <si>
    <t>UIERETOOQGIECD-ONEGZZNKSA-N</t>
  </si>
  <si>
    <t>QQHJDPROMQRDLA-UHFFFAOYSA-N</t>
  </si>
  <si>
    <t>BDJRBEYXGGNYIS-UHFFFAOYSA-N</t>
  </si>
  <si>
    <t>WNLRTRBMVRJNCN-UHFFFAOYSA-N</t>
  </si>
  <si>
    <t>DPUOLQHDNGRHBS-KTKRTIGZSA-N</t>
  </si>
  <si>
    <t>RPUSRLKKXPQSGP-UHFFFAOYSA-N</t>
  </si>
  <si>
    <t>JAGZUIGGHGTFHO-UHFFFAOYSA-N</t>
  </si>
  <si>
    <t>BILPUZXRUDPOOF-UHFFFAOYSA-N</t>
  </si>
  <si>
    <t>LVGKNOAMLMIIKO-VAWYXSNFSA-N</t>
  </si>
  <si>
    <t>FFOPEPMHKILNIT-UHFFFAOYSA-N</t>
  </si>
  <si>
    <t>WAKCWJNDXBPEBP-UHFFFAOYSA-N</t>
  </si>
  <si>
    <t>MBCLPXXVLKGFPM-UHFFFAOYSA-N</t>
  </si>
  <si>
    <t>Olefins</t>
  </si>
  <si>
    <t>Cyclic olefins</t>
  </si>
  <si>
    <t>PTEYJUIKYIKULL-UHFFFAOYSA-N</t>
  </si>
  <si>
    <t>AWJFCAXSGQLCKK-UHFFFAOYSA-N</t>
  </si>
  <si>
    <t>Acyclic olefins</t>
  </si>
  <si>
    <t>Alkadienes</t>
  </si>
  <si>
    <t>XMRSTLBCBDIKFI-UHFFFAOYSA-N</t>
  </si>
  <si>
    <t>OMXANELYEWRDAW-UHFFFAOYSA-N</t>
  </si>
  <si>
    <t>SNXOSZZZNFRFNZ-UHFFFAOYSA-N</t>
  </si>
  <si>
    <t>VHQQPFLOGSTQPC-UHFFFAOYSA-N</t>
  </si>
  <si>
    <t>NOCIDIARFGFRSA-UHFFFAOYSA-N</t>
  </si>
  <si>
    <t>YITPJHKSILJOFQ-UHFFFAOYSA-N</t>
  </si>
  <si>
    <t>QEXZDYLACYKGOM-UHFFFAOYSA-N</t>
  </si>
  <si>
    <t>YYLACZAXCCJCJO-UHFFFAOYSA-N</t>
  </si>
  <si>
    <t>HGTCGIXAQAYYBS-HTXNQAPBSA-N</t>
  </si>
  <si>
    <t>RJWUMFHQJJBBOD-UHFFFAOYSA-N</t>
  </si>
  <si>
    <t>WPSGBOIGKHHPCJ-OHYPFYFLSA-N</t>
  </si>
  <si>
    <t>IGOWHGRNPLFNDJ-ZPHPHTNESA-N</t>
  </si>
  <si>
    <t>IGOWHGRNPLFNDJ-HTXNQAPBSA-N</t>
  </si>
  <si>
    <t>UTPZTNSPDTWUBY-HTXNQAPBSA-N</t>
  </si>
  <si>
    <t>ZHZCYWWNFQUZOR-UHFFFAOYSA-N</t>
  </si>
  <si>
    <t>KSKXSFZGARKWOW-GQCTYLIASA-N</t>
  </si>
  <si>
    <t>Alpha,beta-unsaturated ketones</t>
  </si>
  <si>
    <t>Enones</t>
  </si>
  <si>
    <t>QOPYYRPCXHTOQZ-CMDGGOBGSA-N</t>
  </si>
  <si>
    <t>LEEDMQGKBNGPDN-UHFFFAOYSA-N</t>
  </si>
  <si>
    <t>RXRMVTCLUMJEEX-UHFFFAOYSA-N</t>
  </si>
  <si>
    <t>KWVPFECTOKLOBL-KTKRTIGZSA-N</t>
  </si>
  <si>
    <t>JVTAAEKCZFNVCJ-UHFFFAOYSA-N</t>
  </si>
  <si>
    <t>MUCMKTPAZLSKTL-UHFFFAOYSA-N</t>
  </si>
  <si>
    <t>Medium-chain hydroxy acids and derivatives</t>
  </si>
  <si>
    <t>WQPQDBIUAFINBH-UHFFFAOYSA-N</t>
  </si>
  <si>
    <t>UTGPYHWDXYRYGT-UHFFFAOYSA-N</t>
  </si>
  <si>
    <t>ICAIHSUWWZJGHD-UHFFFAOYSA-N</t>
  </si>
  <si>
    <t>UTOPWMOLSKOLTQ-UHFFFAOYSA-N</t>
  </si>
  <si>
    <t>QZZGJDVWLFXDLK-UHFFFAOYSA-N</t>
  </si>
  <si>
    <t>VHOCUJPBKOZGJD-UHFFFAOYSA-N</t>
  </si>
  <si>
    <t>XEZVDURJDFGERA-UHFFFAOYSA-N</t>
  </si>
  <si>
    <t>XMHIUKTWLZUKEX-UHFFFAOYSA-N</t>
  </si>
  <si>
    <t>MBMBGCFOFBJSGT-KUBAVDMBSA-N</t>
  </si>
  <si>
    <t>AHANXAKGNAKFSK-KYNNUBNZSA-N</t>
  </si>
  <si>
    <t>POULHZVOKOAJMA-UHFFFAOYSA-N</t>
  </si>
  <si>
    <t>FBUKVWPVBMHYJY-UHFFFAOYSA-N</t>
  </si>
  <si>
    <t>MNWFXJYAOYHMED-UHFFFAOYSA-N</t>
  </si>
  <si>
    <t>FUZZWVXGSFPDMH-UHFFFAOYSA-N</t>
  </si>
  <si>
    <t>CVKMFSAVYPAZTQ-UHFFFAOYSA-N</t>
  </si>
  <si>
    <t>ZDPHROOEEOARMN-UHFFFAOYSA-N</t>
  </si>
  <si>
    <t>GHVNFZFCNZKVNT-UHFFFAOYSA-N</t>
  </si>
  <si>
    <t>HVAMZGADVCBITI-UHFFFAOYSA-N</t>
  </si>
  <si>
    <t>XBDQKXXYIPTUBI-UHFFFAOYSA-N</t>
  </si>
  <si>
    <t>GWYFCOCPABKNJV-UHFFFAOYSA-N</t>
  </si>
  <si>
    <t>HOBAELRKJCKHQD-QNEBEIHSSA-N</t>
  </si>
  <si>
    <t>JAZBEHYOTPTENJ-JLNKQSITSA-N</t>
  </si>
  <si>
    <t>NWHQABJQXFAPON-UHFFFAOYSA-N</t>
  </si>
  <si>
    <t>UIERETOOQGIECD-UHFFFAOYSA-N</t>
  </si>
  <si>
    <t>DTOSIQBPPRVQHS-PDBXOOCHSA-N</t>
  </si>
  <si>
    <t>OALYTRUKMRCXNH-UHFFFAOYSA-N</t>
  </si>
  <si>
    <t>GUUHMNNQEULCRL-MDZDMXLPSA-N</t>
  </si>
  <si>
    <t>Fatty alcohol esters</t>
  </si>
  <si>
    <t>VAKBQCYSUVICLV-HJWRWDBZSA-N</t>
  </si>
  <si>
    <t>MAOWSVNIDSZOBR-WAYWQWQTSA-N</t>
  </si>
  <si>
    <t>BTKXLQSCEOHKTF-SREVYHEPSA-N</t>
  </si>
  <si>
    <t>ZHHYXNZJDGDGPJ-BSWSSELBSA-N</t>
  </si>
  <si>
    <t>KKTAIMZGSAQXRE-UHFFFAOYSA-N</t>
  </si>
  <si>
    <t>KKVMYOMOYHSZLH-UHFFFAOYSA-N</t>
  </si>
  <si>
    <t>BAIZLGVGMIENLK-UHFFFAOYSA-N</t>
  </si>
  <si>
    <t>DUUVLSQFLIAPFQ-UHFFFAOYSA-N</t>
  </si>
  <si>
    <t>WBYWAXJHAXSJNI-UHFFFAOYSA-N</t>
  </si>
  <si>
    <t>Cinnamic acids</t>
  </si>
  <si>
    <t>JLYXXMFPNIAWKQ-UHFFFAOYSA-N</t>
  </si>
  <si>
    <t>Organohalogen compounds</t>
  </si>
  <si>
    <t>Alkyl halides</t>
  </si>
  <si>
    <t>Cyclohexyl halides</t>
  </si>
  <si>
    <t>VOLMSPGWNYJHQQ-UHFFFAOYSA-N</t>
  </si>
  <si>
    <t>Pyrans</t>
  </si>
  <si>
    <t>Pyranones and derivatives</t>
  </si>
  <si>
    <t>Dihydropyranones</t>
  </si>
  <si>
    <t>Protoberberine alkaloids and derivatives</t>
  </si>
  <si>
    <t>QOFWRHWADNWKSU-PWSCZGNTSA-N</t>
  </si>
  <si>
    <t>Tocotrienols</t>
  </si>
  <si>
    <t>QOFWRHWADNWKSU-XRBHEKJPSA-N</t>
  </si>
  <si>
    <t>QOFWRHWADNWKSU-LRXIOGKNSA-N</t>
  </si>
  <si>
    <t>QOFWRHWADNWKSU-HGPKLCRWSA-N</t>
  </si>
  <si>
    <t>OEDVLMOQTFMJCV-UHFFFAOYSA-N</t>
  </si>
  <si>
    <t>Pyrazines</t>
  </si>
  <si>
    <t>JUJWROOIHBZHMG-UHFFFAOYSA-N</t>
  </si>
  <si>
    <t>Pyridines and derivatives</t>
  </si>
  <si>
    <t>IANQTJSKSUMEQM-UHFFFAOYSA-N</t>
  </si>
  <si>
    <t>Benzofurans</t>
  </si>
  <si>
    <t>PHOQVHQSTUBQQK-SQOUGZDYSA-N</t>
  </si>
  <si>
    <t>Gluconolactones</t>
  </si>
  <si>
    <t>CZGAOHSMVSIJJZ-UHFFFAOYSA-N</t>
  </si>
  <si>
    <t>Branched unsaturated hydrocarbons</t>
  </si>
  <si>
    <t>VQOXUMQBYILCKR-UHFFFAOYSA-N</t>
  </si>
  <si>
    <t>WWRCMNKATXZARA-UHFFFAOYSA-N</t>
  </si>
  <si>
    <t>CTQNGGLPUBDAKN-UHFFFAOYSA-N</t>
  </si>
  <si>
    <t>Xylenes</t>
  </si>
  <si>
    <t>o-Xylenes</t>
  </si>
  <si>
    <t>XLPDVYGDNRIQFV-UHFFFAOYSA-N</t>
  </si>
  <si>
    <t>Phenylpropanes</t>
  </si>
  <si>
    <t>URLKBWYHVLBVBO-UHFFFAOYSA-N</t>
  </si>
  <si>
    <t>p-Xylenes</t>
  </si>
  <si>
    <t>IVSZLXZYQVIEFR-UHFFFAOYSA-N</t>
  </si>
  <si>
    <t>m-Xylenes</t>
  </si>
  <si>
    <t>AUHZEENZYGFFBQ-UHFFFAOYSA-N</t>
  </si>
  <si>
    <t>YUWFEBAXEOLKSG-UHFFFAOYSA-N</t>
  </si>
  <si>
    <t>YVSFLVNWJIEJRV-UHFFFAOYSA-N</t>
  </si>
  <si>
    <t>Acetylides</t>
  </si>
  <si>
    <t>YNQLUTRBYVCPMQ-UHFFFAOYSA-N</t>
  </si>
  <si>
    <t>GJYKUZUTZNTBEC-UHFFFAOYSA-N</t>
  </si>
  <si>
    <t>HICYDYJTCDBHMZ-UHFFFAOYSA-N</t>
  </si>
  <si>
    <t>XMGQYMWWDOXHJM-SNVBAGLBSA-N</t>
  </si>
  <si>
    <t>XMGQYMWWDOXHJM-JTQLQIEISA-N</t>
  </si>
  <si>
    <t>GGYKPYDKXLHNTI-UHFFFAOYSA-N</t>
  </si>
  <si>
    <t>Acyclic diterpenoids</t>
  </si>
  <si>
    <t>LHORCXXUZJAMPU-UHFFFAOYSA-N</t>
  </si>
  <si>
    <t>Cembrane diterpenoids</t>
  </si>
  <si>
    <t>YGBZFOQXPOGACY-RIYZIHGNSA-N</t>
  </si>
  <si>
    <t>YGBZFOQXPOGACY-HXCMUKNZSA-N</t>
  </si>
  <si>
    <t>YGBZFOQXPOGACY-VWVSFFKRSA-N</t>
  </si>
  <si>
    <t>NDJKXXJCMXVBJW-UHFFFAOYSA-N</t>
  </si>
  <si>
    <t>Compound name</t>
  </si>
  <si>
    <t>Phosphoric acid</t>
  </si>
  <si>
    <t>Vanillyl alcohol</t>
  </si>
  <si>
    <t>Geraniol</t>
  </si>
  <si>
    <t>Farnesol</t>
  </si>
  <si>
    <t>Solanesol</t>
  </si>
  <si>
    <t>Nerol</t>
  </si>
  <si>
    <t>Abscisic acid</t>
  </si>
  <si>
    <t>Nerolidol</t>
  </si>
  <si>
    <t>Docosanol</t>
  </si>
  <si>
    <t>Dotriacontanol</t>
  </si>
  <si>
    <t>Menthol</t>
  </si>
  <si>
    <t>Borneol</t>
  </si>
  <si>
    <t>Carbamazepine</t>
  </si>
  <si>
    <t>4-Hydroxy-3-methoxycinnamaldehyde</t>
  </si>
  <si>
    <t>cis-Cinnamaldehyde</t>
  </si>
  <si>
    <t>2-Furanacetaldehyde</t>
  </si>
  <si>
    <t>Morpholine</t>
  </si>
  <si>
    <t>Octadecanal</t>
  </si>
  <si>
    <t>Aspidospermidine</t>
  </si>
  <si>
    <t>Demecolcine</t>
  </si>
  <si>
    <t>Pagicerine</t>
  </si>
  <si>
    <t>Thiocolchicine</t>
  </si>
  <si>
    <t>Z-12-Pentacosene</t>
  </si>
  <si>
    <t>Ethylamine</t>
  </si>
  <si>
    <t>p-Toluidine</t>
  </si>
  <si>
    <t>Valine</t>
  </si>
  <si>
    <t>Tryptophan</t>
  </si>
  <si>
    <t>Phenylalanine</t>
  </si>
  <si>
    <t>Tyrosine</t>
  </si>
  <si>
    <t>Histidine</t>
  </si>
  <si>
    <t>Hydroxyproline</t>
  </si>
  <si>
    <t>Glutamic acid</t>
  </si>
  <si>
    <t>Cystine</t>
  </si>
  <si>
    <t>Leucine</t>
  </si>
  <si>
    <t>Alanine</t>
  </si>
  <si>
    <t>Lysine</t>
  </si>
  <si>
    <t>Arginine</t>
  </si>
  <si>
    <t>Glycine</t>
  </si>
  <si>
    <t>Sarcosine</t>
  </si>
  <si>
    <t>Proline</t>
  </si>
  <si>
    <t>Quercetin-3-glucoside</t>
  </si>
  <si>
    <t>Osthole</t>
  </si>
  <si>
    <t>D-Xylose</t>
  </si>
  <si>
    <t>Maltose</t>
  </si>
  <si>
    <t>Sucrose</t>
  </si>
  <si>
    <t>Galactitol</t>
  </si>
  <si>
    <t>Erythritol</t>
  </si>
  <si>
    <t>Benzyl acetate</t>
  </si>
  <si>
    <t>trans-Aconitic acid</t>
  </si>
  <si>
    <t>trans-Cadina-1(6),4-diene</t>
  </si>
  <si>
    <t>3,4-Dihydroxyphenylacetic acid</t>
  </si>
  <si>
    <t>Homogentisic acid</t>
  </si>
  <si>
    <t>Fumaric acid</t>
  </si>
  <si>
    <t>Prenyl caffeate</t>
  </si>
  <si>
    <t>Anacardic acid</t>
  </si>
  <si>
    <t>Benzyl salicylate</t>
  </si>
  <si>
    <t>Benzyl benzoate</t>
  </si>
  <si>
    <t>4,5-Dicaffeoylquinic acid</t>
  </si>
  <si>
    <t>Quinic acid</t>
  </si>
  <si>
    <t>Tartaric acid</t>
  </si>
  <si>
    <t>Benzyl caffeate</t>
  </si>
  <si>
    <t>Benzyl p-coumarate</t>
  </si>
  <si>
    <t>Succinic acid</t>
  </si>
  <si>
    <t>Diglycolic acid</t>
  </si>
  <si>
    <t>Malic acid</t>
  </si>
  <si>
    <t>Acetic acid</t>
  </si>
  <si>
    <t>L-Lactic acid</t>
  </si>
  <si>
    <t>Artepillin C</t>
  </si>
  <si>
    <t>Citric acid</t>
  </si>
  <si>
    <t>Isocupressic acid</t>
  </si>
  <si>
    <t>3-Methylbut-3-enyl benzoate</t>
  </si>
  <si>
    <t>3-Methyl-3-butenyl acetate</t>
  </si>
  <si>
    <t>Allyl benzoate</t>
  </si>
  <si>
    <t>Ethyl ferulate</t>
  </si>
  <si>
    <t>Cinnamyl cinnamate</t>
  </si>
  <si>
    <t>Cinnamyl caffeate</t>
  </si>
  <si>
    <t>3-Methyl-3-butenyl ferulate</t>
  </si>
  <si>
    <t>Prenyl acetate</t>
  </si>
  <si>
    <t>Brallobarbital</t>
  </si>
  <si>
    <t>Methylthiouracil</t>
  </si>
  <si>
    <t>2-Methylbutanoic acid</t>
  </si>
  <si>
    <t>Methyl dodecanoate</t>
  </si>
  <si>
    <t>1,14-Docosanediol</t>
  </si>
  <si>
    <t>10-Octadecenoic acid methyl ester</t>
  </si>
  <si>
    <t>Methyl hexacosanoate</t>
  </si>
  <si>
    <t>Methyl tetracosanoate</t>
  </si>
  <si>
    <t>7-Hexadecenoic acid, methyl ester</t>
  </si>
  <si>
    <t>Methyl tetradecanoate</t>
  </si>
  <si>
    <t>Ethyl oleate</t>
  </si>
  <si>
    <t>Ethyl palmitate</t>
  </si>
  <si>
    <t>9-Hexadecenoic acid</t>
  </si>
  <si>
    <t>Oxacyclohexadecan-2-one</t>
  </si>
  <si>
    <t>Cyclotetracosane</t>
  </si>
  <si>
    <t>Cyclododecane</t>
  </si>
  <si>
    <t>9,12-Octadecadienoic acid</t>
  </si>
  <si>
    <t>Oleic acid</t>
  </si>
  <si>
    <t>Linoleic acid</t>
  </si>
  <si>
    <t>Octadecenoic acid</t>
  </si>
  <si>
    <t>9-Octadecenoic acid</t>
  </si>
  <si>
    <t>8-Octadecenoic acid</t>
  </si>
  <si>
    <t>Docosanoic acid</t>
  </si>
  <si>
    <t>Heneicosanoic acid</t>
  </si>
  <si>
    <t>Stearic acid</t>
  </si>
  <si>
    <t>Heptadecanoic acid</t>
  </si>
  <si>
    <t>Palmitic acid</t>
  </si>
  <si>
    <t>Pentadecanoic acid</t>
  </si>
  <si>
    <t>Myristic acid</t>
  </si>
  <si>
    <t>Tridecanoic acid</t>
  </si>
  <si>
    <t>Octadecadienoic acid</t>
  </si>
  <si>
    <t>Azelaic acid</t>
  </si>
  <si>
    <t>Erucic acid</t>
  </si>
  <si>
    <t>Methyl 14-methylpentadecanoate</t>
  </si>
  <si>
    <t>1,19-Eicosadiene</t>
  </si>
  <si>
    <t>1,13-Tetradecadiene</t>
  </si>
  <si>
    <t>Nonatriacontane</t>
  </si>
  <si>
    <t>Pentatriacontane</t>
  </si>
  <si>
    <t>9-Hexacosene</t>
  </si>
  <si>
    <t>9-Tricosene</t>
  </si>
  <si>
    <t>9-Nonadecene</t>
  </si>
  <si>
    <t>4-Penten-2-ol</t>
  </si>
  <si>
    <t>2-Methylnonadecane</t>
  </si>
  <si>
    <t>Tetratriacontyl hexadecanoate</t>
  </si>
  <si>
    <t>Lactic acid</t>
  </si>
  <si>
    <t>Octacosanoic acid</t>
  </si>
  <si>
    <t>Tetracosanoic acid</t>
  </si>
  <si>
    <t>Tricosanoic acid</t>
  </si>
  <si>
    <t>Hexacosanoic acid</t>
  </si>
  <si>
    <t>Heptanoic acid</t>
  </si>
  <si>
    <t>Undecanoic acid</t>
  </si>
  <si>
    <t>13,16-Octadecadienoic acid</t>
  </si>
  <si>
    <t>2-Butenoic acid, 2-methyl-</t>
  </si>
  <si>
    <t>Linolenic acid</t>
  </si>
  <si>
    <t>Z-9-Hexadecen-1-ol acetate</t>
  </si>
  <si>
    <t>Pentacosyl hexadecanoate</t>
  </si>
  <si>
    <t>2-Propenoic acid, 3-phenyl-</t>
  </si>
  <si>
    <t>Lindane</t>
  </si>
  <si>
    <t>Pyridine</t>
  </si>
  <si>
    <t>Benzofuran</t>
  </si>
  <si>
    <t>1-Tridecene</t>
  </si>
  <si>
    <t>Ethylbenzene</t>
  </si>
  <si>
    <t>Heptadecane</t>
  </si>
  <si>
    <t>CID</t>
  </si>
  <si>
    <t>QHMGJGNTMQDRQA-UHFFFAOYSA-N</t>
  </si>
  <si>
    <t>IUJAMGNYPWYUPM-UHFFFAOYSA-N</t>
  </si>
  <si>
    <t>ZYURHZPYMFLWSH-UHFFFAOYSA-N</t>
  </si>
  <si>
    <t>YKNWIILGEFFOPE-UHFFFAOYSA-N</t>
  </si>
  <si>
    <t>POOSGDOYLQNASK-UHFFFAOYSA-N</t>
  </si>
  <si>
    <t>FIGVVZUWCLSUEI-UHFFFAOYSA-N</t>
  </si>
  <si>
    <t>HOWGUJZVBDQJKV-UHFFFAOYSA-N</t>
  </si>
  <si>
    <t>CBFCDTFDPHXCNY-UHFFFAOYSA-N</t>
  </si>
  <si>
    <t>YCOZIPAWZNQLMR-UHFFFAOYSA-N</t>
  </si>
  <si>
    <t>BGHCVCJVXZWKCC-UHFFFAOYSA-N</t>
  </si>
  <si>
    <t>IIYFAKIEWZDVMP-UHFFFAOYSA-N</t>
  </si>
  <si>
    <t>GWVDBZWVFGFBCN-UHFFFAOYSA-N</t>
  </si>
  <si>
    <t>SUJUOAZFECLBOA-UHFFFAOYSA-N</t>
  </si>
  <si>
    <t>DRJAAODMPBOZLH-UHFFFAOYSA-N</t>
  </si>
  <si>
    <t>FNAZRRHPUDJQCJ-UHFFFAOYSA-N</t>
  </si>
  <si>
    <t>LQERIDTXQFOHKA-UHFFFAOYSA-N</t>
  </si>
  <si>
    <t>DCAYPVUWAIABOU-UHFFFAOYSA-N</t>
  </si>
  <si>
    <t>JXTPJDDICSTXJX-UHFFFAOYSA-N</t>
  </si>
  <si>
    <t>IGGUPRCHHJZPBS-UHFFFAOYSA-N</t>
  </si>
  <si>
    <t>RZJRJXONCZWCBN-UHFFFAOYSA-N</t>
  </si>
  <si>
    <t>VAJVDSVGBWFCLW-UHFFFAOYSA-N</t>
  </si>
  <si>
    <t>MMSLOZQEMPDGPI-UHFFFAOYSA-N</t>
  </si>
  <si>
    <t>Phenylpropenes</t>
  </si>
  <si>
    <t>IHPKGUQCSIINRJ-NTMALXAHSA-N</t>
  </si>
  <si>
    <t>GRWFGVWFFZKLTI-UHFFFAOYSA-N</t>
  </si>
  <si>
    <t>BQOFWKZOCNGFEC-UHFFFAOYSA-N</t>
  </si>
  <si>
    <t>KQAZVFVOEIRWHN-UHFFFAOYSA-N</t>
  </si>
  <si>
    <t>HFPZCAJZSCWRBC-UHFFFAOYSA-N</t>
  </si>
  <si>
    <t>XCPQUQHBVVXMRQ-UHFFFAOYSA-N</t>
  </si>
  <si>
    <t>CRPUJAZIXJMDBK-UHFFFAOYSA-N</t>
  </si>
  <si>
    <t>WTARULDDTDQWMU-UHFFFAOYSA-N</t>
  </si>
  <si>
    <t>RRBYUSWBLVXTQN-UHFFFAOYSA-N</t>
  </si>
  <si>
    <t>UAHWPYUMFXYFJY-UHFFFAOYSA-N</t>
  </si>
  <si>
    <t>FAMJUFMHYAFYNU-UHFFFAOYSA-N</t>
  </si>
  <si>
    <t>WUOACPNHFRMFPN-UHFFFAOYSA-N</t>
  </si>
  <si>
    <t>XMGQYMWWDOXHJM-UHFFFAOYSA-N</t>
  </si>
  <si>
    <t>YKFLAYDHMOASIY-UHFFFAOYSA-N</t>
  </si>
  <si>
    <t>MOYAFQVGZZPNRA-UHFFFAOYSA-N</t>
  </si>
  <si>
    <t>YHQGMYUVUMAZJR-UHFFFAOYSA-N</t>
  </si>
  <si>
    <t>XNMPFDIYAMOYRM-UHFFFAOYSA-N</t>
  </si>
  <si>
    <t>WUOACPNHFRMFPN-SECBINFHSA-N</t>
  </si>
  <si>
    <t>DCSCXTJOXBUFGB-YUMQZZPRSA-N</t>
  </si>
  <si>
    <t>XCYJPXQACVEIOS-UHFFFAOYSA-N</t>
  </si>
  <si>
    <t>KGEKLUUHTZCSIP-UHFFFAOYSA-N</t>
  </si>
  <si>
    <t>USMNOWBWPHYOEA-NRPADANISA-N</t>
  </si>
  <si>
    <t>WONIGEXYPVIKFS-UHFFFAOYSA-N</t>
  </si>
  <si>
    <t>HICYDYJTCDBHMZ-SFDCQRBFSA-N</t>
  </si>
  <si>
    <t>HICYDYJTCDBHMZ-COMQUAJESA-N</t>
  </si>
  <si>
    <t>QEBNYNLSCGVZOH-GZBFAFLISA-N</t>
  </si>
  <si>
    <t>Eremophilane, 8,9-secoeremophilane and furoeremophilane sesquiterpenoids</t>
  </si>
  <si>
    <t>DUYRYUZIBGFLDD-UHFFFAOYSA-N</t>
  </si>
  <si>
    <t>VMYXUZSZMNBRCN-UHFFFAOYSA-N</t>
  </si>
  <si>
    <t>VLXDPFLIRFYIME-PLWLXLEKSA-N</t>
  </si>
  <si>
    <t>VLXDPFLIRFYIME-XIQJJJERSA-N</t>
  </si>
  <si>
    <t>FWKQNCXZGNBPFD-UHFFFAOYSA-N</t>
  </si>
  <si>
    <t>Guaianes</t>
  </si>
  <si>
    <t>FUCYIEXQVQJBKY-ZFWWWQNUSA-N</t>
  </si>
  <si>
    <t>QMAYBMKBYCGXDH-ZNMIVQPWSA-N</t>
  </si>
  <si>
    <t>WRHGORWNJGOVQY-ZNMIVQPWSA-N</t>
  </si>
  <si>
    <t>QMAYBMKBYCGXDH-KKUMJFAQSA-N</t>
  </si>
  <si>
    <t>PDSNLYSELAIEBU-UHFFFAOYSA-N</t>
  </si>
  <si>
    <t>VPDZRSSKICPUEY-JEPMYXAXSA-N</t>
  </si>
  <si>
    <t>Bicyclogermacrane and isolepidozane sesquiterpenoids</t>
  </si>
  <si>
    <t>VMYXUZSZMNBRCN-CQSZACIVSA-N</t>
  </si>
  <si>
    <t>CXENHBSYCFFKJS-VDQVFBMKSA-N</t>
  </si>
  <si>
    <t>FAMPSKZZVDUYOS-HRGUGZIWSA-N</t>
  </si>
  <si>
    <t>GAIBLDCXCZKKJE-BZXLUOIMSA-N</t>
  </si>
  <si>
    <t>Germacrane sesquiterpenoids</t>
  </si>
  <si>
    <t>WGTRJVCFDUCKCM-FMKGYKFTSA-N</t>
  </si>
  <si>
    <t>Aromadendrane sesquiterpenoids</t>
  </si>
  <si>
    <t>5,10-cycloaromadendrane sesquiterpenoids</t>
  </si>
  <si>
    <t>QEBNYNLSCGVZOH-NFAWXSAZSA-N</t>
  </si>
  <si>
    <t>FIAKMTRUEKZMNO-OCCSQVGLSA-N</t>
  </si>
  <si>
    <t>RGZSQWQPBWRIAQ-LOACHALJSA-N</t>
  </si>
  <si>
    <t>VMOJIHDTVZTGDO-UHFFFAOYSA-N</t>
  </si>
  <si>
    <t>GXEGJTGWYVZSNR-SJRHNVSNSA-N</t>
  </si>
  <si>
    <t>ITYNGVSTWVVPIC-XGFWRYKXSA-N</t>
  </si>
  <si>
    <t>ITYNGVSTWVVPIC-LRUBOHGLSA-N</t>
  </si>
  <si>
    <t>ITYNGVSTWVVPIC-DHGKCCLASA-N</t>
  </si>
  <si>
    <t>XUEHVOLRMXNRKQ-KHMAMNHCSA-N</t>
  </si>
  <si>
    <t>GAIBLDCXCZKKJE-YZJXYJLZSA-N</t>
  </si>
  <si>
    <t>GAIBLDCXCZKKJE-RGZOGPIRSA-N</t>
  </si>
  <si>
    <t>GAIBLDCXCZKKJE-RXJOXMPGSA-N</t>
  </si>
  <si>
    <t>NPNUFJAVOOONJE-GFUGXAQUSA-N</t>
  </si>
  <si>
    <t>NPNUFJAVOOONJE-QWAJQTJBSA-N</t>
  </si>
  <si>
    <t>GAIBLDCXCZKKJE-ACWLMNNXSA-N</t>
  </si>
  <si>
    <t>VLXDPFLIRFYIME-BTFPBAQTSA-N</t>
  </si>
  <si>
    <t>PDSNLYSELAIEBU-RGCMKSIDSA-N</t>
  </si>
  <si>
    <t>ITYNGVSTWVVPIC-UHFFFAOYSA-N</t>
  </si>
  <si>
    <t>AYXPYQRXGNDJFU-UHFFFAOYSA-N</t>
  </si>
  <si>
    <t>AYXPYQRXGNDJFU-MRMQSMEPSA-N</t>
  </si>
  <si>
    <t>RCMUGHFHXFHKNW-UHFFFAOYSA-N</t>
  </si>
  <si>
    <t>NUQDPKOFUKFKFD-UHFFFAOYSA-N</t>
  </si>
  <si>
    <t>Polycyclic hydrocarbons</t>
  </si>
  <si>
    <t>ICWHTQRTTHCUHW-UHFFFAOYSA-N</t>
  </si>
  <si>
    <t>ICWHTQRTTHCUHW-SSDMNJCBSA-N</t>
  </si>
  <si>
    <t>ICWHTQRTTHCUHW-RGPPAHDHSA-N</t>
  </si>
  <si>
    <t>ITYNGVSTWVVPIC-XBIUQDLISA-N</t>
  </si>
  <si>
    <t>ITYNGVSTWVVPIC-NSIINPIOSA-N</t>
  </si>
  <si>
    <t>AYXPYQRXGNDJFU-CKVZAATNSA-N</t>
  </si>
  <si>
    <t>GAIBLDCXCZKKJE-UHFFFAOYSA-N</t>
  </si>
  <si>
    <t>GAIBLDCXCZKKJE-OYXBEGFWSA-N</t>
  </si>
  <si>
    <t>VLXDPFLIRFYIME-UHFFFAOYSA-N</t>
  </si>
  <si>
    <t>VLXDPFLIRFYIME-ZPWMNFGTSA-N</t>
  </si>
  <si>
    <t>VLXDPFLIRFYIME-LUGNKYPNSA-N</t>
  </si>
  <si>
    <t>VLXDPFLIRFYIME-MFEYBKIZSA-N</t>
  </si>
  <si>
    <t>PGTJIOWQJWHTJJ-STQMWFEESA-N</t>
  </si>
  <si>
    <t>RCMUGHFHXFHKNW-QEJZJMRPSA-N</t>
  </si>
  <si>
    <t>ITYNGVSTWVVPIC-QNSTZXKLSA-N</t>
  </si>
  <si>
    <t>AYXPYQRXGNDJFU-VUZIRADBSA-N</t>
  </si>
  <si>
    <t>RTBLDXVIGWSICW-JMSVASOKSA-N</t>
  </si>
  <si>
    <t>ITYNGVSTWVVPIC-XVIXHAIJSA-N</t>
  </si>
  <si>
    <t>IRAQOCYXUMOFCW-OSFYFWSMSA-N</t>
  </si>
  <si>
    <t>Cedrane and isocedrane sesquiterpenoids</t>
  </si>
  <si>
    <t>PDSNLYSELAIEBU-WOFVOEOOSA-N</t>
  </si>
  <si>
    <t>KTPOZFYJWLGJGH-UHFFFAOYSA-N</t>
  </si>
  <si>
    <t>XZRVRYFILCSYSP-OAHLLOKOSA-N</t>
  </si>
  <si>
    <t>LKQMMFFQYMYQOJ-QVHKTLOISA-N</t>
  </si>
  <si>
    <t>RNDFUOKDULDZPR-MCIONIFRSA-N</t>
  </si>
  <si>
    <t>OPFTUNCRGUEPRZ-QLFBSQMISA-N</t>
  </si>
  <si>
    <t>WRYLYDPHFGVWKC-UHFFFAOYSA-N</t>
  </si>
  <si>
    <t>YYGNTYWPHWGJRM-AAJYLUCBSA-N</t>
  </si>
  <si>
    <t>Triterpenoids</t>
  </si>
  <si>
    <t>HHXYJYBYNZMZKX-PYQRSULMSA-N</t>
  </si>
  <si>
    <t>Hopanoids</t>
  </si>
  <si>
    <t>PPBRXRYQALVLMV-UHFFFAOYSA-N</t>
  </si>
  <si>
    <t>KMXFZRSJMDYPPG-UHFFFAOYSA-N</t>
  </si>
  <si>
    <t>VAMFXQBUQXONLZ-UHFFFAOYSA-N</t>
  </si>
  <si>
    <t>SNRUBQQJIBEYMU-UHFFFAOYSA-N</t>
  </si>
  <si>
    <t>RSJKGSCJYJTIGS-UHFFFAOYSA-N</t>
  </si>
  <si>
    <t>DIOQZVSQGTUSAI-UHFFFAOYSA-N</t>
  </si>
  <si>
    <t>IJDNQMDRQITEOD-UHFFFAOYSA-N</t>
  </si>
  <si>
    <t>PFEOZHBOMNWTJB-UHFFFAOYSA-N</t>
  </si>
  <si>
    <t>YDLYQMBWCWFRAI-UHFFFAOYSA-N</t>
  </si>
  <si>
    <t>BDWBGSCECOPTTH-UHFFFAOYSA-N</t>
  </si>
  <si>
    <t>SPURMHFLEKVAAS-UHFFFAOYSA-N</t>
  </si>
  <si>
    <t>NHLUYCJZUXOUBX-UHFFFAOYSA-N</t>
  </si>
  <si>
    <t>ADOBXTDBFNCOBN-UHFFFAOYSA-N</t>
  </si>
  <si>
    <t>UBMJSQAFNUWJEG-UHFFFAOYSA-N</t>
  </si>
  <si>
    <t>UFWIBTONFRDIAS-UHFFFAOYSA-N</t>
  </si>
  <si>
    <t>Naphthalenes</t>
  </si>
  <si>
    <t>NYJYFSGMYHSTNZ-UHFFFAOYSA-N</t>
  </si>
  <si>
    <t>BXGVVQADPFXGHD-LSDHHAIUSA-N</t>
  </si>
  <si>
    <t>ROKSAUSPJGWCSM-UHFFFAOYSA-N</t>
  </si>
  <si>
    <t>CLWAXFZCVYJLLM-UHFFFAOYSA-N</t>
  </si>
  <si>
    <t>Organochlorides</t>
  </si>
  <si>
    <t>VUQPJRPDRDVQMN-UHFFFAOYSA-N</t>
  </si>
  <si>
    <t>BJQWYEJQWHSSCJ-UHFFFAOYSA-N</t>
  </si>
  <si>
    <t>HMSWAIKSFDFLKN-UHFFFAOYSA-N</t>
  </si>
  <si>
    <t>COGPRPSWSKLKTF-UHFFFAOYSA-N</t>
  </si>
  <si>
    <t>BLCUZCCTSBVFSV-LAPDZXRHSA-N</t>
  </si>
  <si>
    <t>ZQGDEJAPCUGBRH-UHFFFAOYSA-N</t>
  </si>
  <si>
    <t>BAIIBWAJMHXQDL-ZTCHHREXSA-N</t>
  </si>
  <si>
    <t>Anthracenes</t>
  </si>
  <si>
    <t>Anthraquinones</t>
  </si>
  <si>
    <t>KEQHJBNSCLWCAE-UHFFFAOYSA-N</t>
  </si>
  <si>
    <t>Cyclic ketones</t>
  </si>
  <si>
    <t>Quinones</t>
  </si>
  <si>
    <t>AZQWKYJCGOJGHM-UHFFFAOYSA-N</t>
  </si>
  <si>
    <t>DQFBYFPFKXHELB-VAWYXSNFSA-N</t>
  </si>
  <si>
    <t>Linear 1,3-diarylpropanoids</t>
  </si>
  <si>
    <t>Chalcones and dihydrochalcones</t>
  </si>
  <si>
    <t>Retrochalcones</t>
  </si>
  <si>
    <t>LOYXTWZXLWHMBX-VOTSOKGWSA-N</t>
  </si>
  <si>
    <t>2'-Hydroxychalcones</t>
  </si>
  <si>
    <t>DXDRHHKMWQZJHT-FPYGCLRLSA-N</t>
  </si>
  <si>
    <t>HDKLIZDXVUCLHQ-BQYQJAHWSA-N</t>
  </si>
  <si>
    <t>TXFPEBPIARQUIG-UHFFFAOYSA-N</t>
  </si>
  <si>
    <t>BAYUSCHCCGXLAY-UHFFFAOYSA-N</t>
  </si>
  <si>
    <t>ILPDXIFPWLAALE-UHFFFAOYSA-N</t>
  </si>
  <si>
    <t>KWOLFJPFCHCOCG-UHFFFAOYSA-N</t>
  </si>
  <si>
    <t>YNPDFBFVMJNGKZ-UHFFFAOYSA-N</t>
  </si>
  <si>
    <t>TZZQZCIACNYHBG-MVJHLKBCSA-N</t>
  </si>
  <si>
    <t>TZZQZCIACNYHBG-AKAMJVKKSA-N</t>
  </si>
  <si>
    <t>DTTONLKLWRTCAB-AKAMJVKKSA-N</t>
  </si>
  <si>
    <t>DTTONLKLWRTCAB-NDVZVQCQSA-N</t>
  </si>
  <si>
    <t>TZZQZCIACNYHBG-OLPCVCRBSA-N</t>
  </si>
  <si>
    <t>RWCCWEUUXYIKHB-UHFFFAOYSA-N</t>
  </si>
  <si>
    <t>Benzophenones</t>
  </si>
  <si>
    <t>DTTONLKLWRTCAB-NQTMAFGYSA-N</t>
  </si>
  <si>
    <t>SWXVUIWOUIDPGS-UHFFFAOYSA-N</t>
  </si>
  <si>
    <t>Beta-hydroxy ketones</t>
  </si>
  <si>
    <t>GKDLTXYXODKDEA-UHFFFAOYSA-N</t>
  </si>
  <si>
    <t>IOUVKUPGCMBWBT-QNDFHXLGSA-N</t>
  </si>
  <si>
    <t>DCSCXTJOXBUFGB-UHFFFAOYSA-N</t>
  </si>
  <si>
    <t>DCSCXTJOXBUFGB-JGVFFNPUSA-N</t>
  </si>
  <si>
    <t>YLHXLHGIAMFFBU-UHFFFAOYSA-N</t>
  </si>
  <si>
    <t>KYWIYKKSMDLRDC-UHFFFAOYSA-N</t>
  </si>
  <si>
    <t>VKCYHJWLYTUGCC-UHFFFAOYSA-N</t>
  </si>
  <si>
    <t>CATSNJVOTSVZJV-UHFFFAOYSA-N</t>
  </si>
  <si>
    <t>QCCDLTOVEPVEJK-UHFFFAOYSA-N</t>
  </si>
  <si>
    <t>UHEPJGULSIKKTP-UHFFFAOYSA-N</t>
  </si>
  <si>
    <t>KUIZKZHDMPERHR-UHFFFAOYSA-N</t>
  </si>
  <si>
    <t>LPCWMYHBLXLJJQ-SNAWJCMRSA-N</t>
  </si>
  <si>
    <t>VUVUIDMZOWHIIJ-UHFFFAOYSA-N</t>
  </si>
  <si>
    <t>IEDKVDCIEARIIU-UHFFFAOYSA-N</t>
  </si>
  <si>
    <t>TVTCXPXLRKTHAU-UHFFFAOYSA-N</t>
  </si>
  <si>
    <t>CJPNOLIZCWDHJK-UHFFFAOYSA-N</t>
  </si>
  <si>
    <t>HOBBEYSRFFJETF-UHFFFAOYSA-N</t>
  </si>
  <si>
    <t>WHWDWIHXSPCOKZ-UHFFFAOYSA-N</t>
  </si>
  <si>
    <t>CSCPPACGZOOCGX-UHFFFAOYSA-N</t>
  </si>
  <si>
    <t>KMZHZAAOEWVPSE-UHFFFAOYSA-N</t>
  </si>
  <si>
    <t>Monoacylglycerols</t>
  </si>
  <si>
    <t>1-monoacylglycerols</t>
  </si>
  <si>
    <t>UGVIZCBJCSXBCJ-JWFUOXDNSA-N</t>
  </si>
  <si>
    <t>Aristolane sesquiterpenoids</t>
  </si>
  <si>
    <t>Organosulfur compounds</t>
  </si>
  <si>
    <t>Isoflavonoids</t>
  </si>
  <si>
    <t>MONZOXMQHOAEQD-UHFFFAOYSA-N</t>
  </si>
  <si>
    <t>8-methoxypsoralens</t>
  </si>
  <si>
    <t>IHOKRGVBZLYIRN-UHFFFAOYSA-N</t>
  </si>
  <si>
    <t>Morphinans</t>
  </si>
  <si>
    <t>UQBSUVIBJIXFQT-PKNBQFBNSA-N</t>
  </si>
  <si>
    <t>UPLOKTSIJATUTQ-UHFFFAOYSA-N</t>
  </si>
  <si>
    <t>Isoquinolines and derivatives</t>
  </si>
  <si>
    <t>QNJDSGDMHFINPN-UHFFFAOYSA-N</t>
  </si>
  <si>
    <t>Keto acids and derivatives</t>
  </si>
  <si>
    <t>Beta-keto acids and derivatives</t>
  </si>
  <si>
    <t>Dotriacontane</t>
  </si>
  <si>
    <t>Hentriacontane</t>
  </si>
  <si>
    <t>Octacosane</t>
  </si>
  <si>
    <t>Pentacosane</t>
  </si>
  <si>
    <t>Tetracosane</t>
  </si>
  <si>
    <t>Tricosane</t>
  </si>
  <si>
    <t>Docosane</t>
  </si>
  <si>
    <t>Pentadecane</t>
  </si>
  <si>
    <t>Tetradecane</t>
  </si>
  <si>
    <t>Tridecane</t>
  </si>
  <si>
    <t>Tetratriacontane</t>
  </si>
  <si>
    <t>Tritriacontane</t>
  </si>
  <si>
    <t>Heneicosane</t>
  </si>
  <si>
    <t>Nonadecane</t>
  </si>
  <si>
    <t>Triacontane</t>
  </si>
  <si>
    <t>Nonacosane</t>
  </si>
  <si>
    <t>Octadecane</t>
  </si>
  <si>
    <t>p-Cymene</t>
  </si>
  <si>
    <t>Camphene</t>
  </si>
  <si>
    <t>Tricyclene</t>
  </si>
  <si>
    <t>Myrcene</t>
  </si>
  <si>
    <t>Limonene</t>
  </si>
  <si>
    <t>Verbenol</t>
  </si>
  <si>
    <t>gamma-Gurjunene</t>
  </si>
  <si>
    <t>Humulene</t>
  </si>
  <si>
    <t>Viridiflorene</t>
  </si>
  <si>
    <t>Valencene</t>
  </si>
  <si>
    <t>Cadalene</t>
  </si>
  <si>
    <t>Germacrene B</t>
  </si>
  <si>
    <t>trans-Caryophyllene</t>
  </si>
  <si>
    <t>Germacrene D</t>
  </si>
  <si>
    <t>Aromadendrene</t>
  </si>
  <si>
    <t>Globulol</t>
  </si>
  <si>
    <t>Hinesol</t>
  </si>
  <si>
    <t>Guaia-6,9-diene</t>
  </si>
  <si>
    <t>(-)-Cyperene</t>
  </si>
  <si>
    <t>cis-Muurola-4(14),5-diene</t>
  </si>
  <si>
    <t>Squalene</t>
  </si>
  <si>
    <t>Diploptene</t>
  </si>
  <si>
    <t>Styrene</t>
  </si>
  <si>
    <t>Tetratetracontane</t>
  </si>
  <si>
    <t>1-Eicosene</t>
  </si>
  <si>
    <t>Dodecane</t>
  </si>
  <si>
    <t>Butane</t>
  </si>
  <si>
    <t>Hexatriacontane</t>
  </si>
  <si>
    <t>1-Docosene</t>
  </si>
  <si>
    <t>1-Nonadecene</t>
  </si>
  <si>
    <t>1-Heptadecene</t>
  </si>
  <si>
    <t>Naphthalene</t>
  </si>
  <si>
    <t>1-Chlorooctadecane</t>
  </si>
  <si>
    <t>Heptacosane</t>
  </si>
  <si>
    <t>Hexacosane</t>
  </si>
  <si>
    <t>17-Pentatriacontene</t>
  </si>
  <si>
    <t>Santolina triene</t>
  </si>
  <si>
    <t>Chalcone</t>
  </si>
  <si>
    <t>Pinocembrin chalcone</t>
  </si>
  <si>
    <t>Diprenyl acetophenone</t>
  </si>
  <si>
    <t>Acetophenone</t>
  </si>
  <si>
    <t>Xanthochymol</t>
  </si>
  <si>
    <t>Verbenone</t>
  </si>
  <si>
    <t>Methyl benzoylformate</t>
  </si>
  <si>
    <t>6-Methyl-5-hepten-2-one</t>
  </si>
  <si>
    <t>3-Hexen-2-one</t>
  </si>
  <si>
    <t>2-Heneicosanone</t>
  </si>
  <si>
    <t>2-Nonadecanone</t>
  </si>
  <si>
    <t>2-Heptadecanone</t>
  </si>
  <si>
    <t>2-Pentadecanone</t>
  </si>
  <si>
    <t>Aristolone</t>
  </si>
  <si>
    <t>Morphinan-6-one, 3,4-dimethoxy-</t>
  </si>
  <si>
    <t>ASUSJXUAPJOJTH-UHFFFAOYSA-N</t>
  </si>
  <si>
    <t>Pyridinecarboxylic acids and derivatives</t>
  </si>
  <si>
    <t>Pyridinecarboxylic acids</t>
  </si>
  <si>
    <t>NITWSHWHQAQBAW-UHFFFAOYSA-N</t>
  </si>
  <si>
    <t>FZDKVAWFXXDDPA-PKNBQFBNSA-N</t>
  </si>
  <si>
    <t>KIWZKBUUWJTGPP-UHFFFAOYSA-N</t>
  </si>
  <si>
    <t>Quinolines and derivatives</t>
  </si>
  <si>
    <t>IIMUEPCADBPEMF-UHFFFAOYSA-N</t>
  </si>
  <si>
    <t>Sulfonyls</t>
  </si>
  <si>
    <t>Sulfones</t>
  </si>
  <si>
    <t>UXHNYNXKXHRDRI-UHFFFAOYSA-N</t>
  </si>
  <si>
    <t>SNMUERBNQDOIQB-UHFFFAOYSA-N</t>
  </si>
  <si>
    <t>Hydroxycoumarins</t>
  </si>
  <si>
    <t>7-hydroxycoumarins</t>
  </si>
  <si>
    <t>CWQLQYNQWCTDQF-FMIVXFBMSA-N</t>
  </si>
  <si>
    <t>Tertiary amines</t>
  </si>
  <si>
    <t>Tertiary alkylarylamines</t>
  </si>
  <si>
    <t>Dialkylarylamines</t>
  </si>
  <si>
    <t>XEPISKMSORQJRU-RMKNXTFCSA-N</t>
  </si>
  <si>
    <t>HVTHYMNEWWNSKM-UHFFFAOYSA-N</t>
  </si>
  <si>
    <t>Methoxybenzoic acids and derivatives</t>
  </si>
  <si>
    <t>M-methoxybenzoic acids and derivatives</t>
  </si>
  <si>
    <t>VPDDQCXWJMAIAY-HTXNQAPBSA-N</t>
  </si>
  <si>
    <t>XGFDHKJUZCCPKQ-UHFFFAOYSA-N</t>
  </si>
  <si>
    <t>BPDIFDOIPMZMDU-UHFFFAOYSA-N</t>
  </si>
  <si>
    <t>KMEHEQFDWWYZIO-UHFFFAOYSA-N</t>
  </si>
  <si>
    <t>FMGHDGZLCHHZKR-UHFFFAOYSA-N</t>
  </si>
  <si>
    <t>KTUPKHQFSAAMEE-UHFFFAOYSA-N</t>
  </si>
  <si>
    <t>SCVPLVIKFSVDDH-UHFFFAOYSA-N</t>
  </si>
  <si>
    <t>JIWLOZPAQDZWQN-UHFFFAOYSA-N</t>
  </si>
  <si>
    <t>Organometallic compounds</t>
  </si>
  <si>
    <t>Organometalloid compounds</t>
  </si>
  <si>
    <t>Organosilicon compounds</t>
  </si>
  <si>
    <t>Organoheterosilanes</t>
  </si>
  <si>
    <t>Organochlorosilanes</t>
  </si>
  <si>
    <t>PWVUXRBUUYZMKM-UHFFFAOYSA-N</t>
  </si>
  <si>
    <t>CYUVJOWXJUNPHY-ISLYRVAYSA-N</t>
  </si>
  <si>
    <t>QRTVDKVXAFJVRU-BUHFOSPRSA-N</t>
  </si>
  <si>
    <t>QOJGJKKHTRAFOK-XUTLUUPISA-N</t>
  </si>
  <si>
    <t>UYCICMIUKYEYEU-ZHACJKMWSA-N</t>
  </si>
  <si>
    <t>CGMDPTNRMYIZTM-UHFFFAOYSA-N</t>
  </si>
  <si>
    <t>Alkatrienes</t>
  </si>
  <si>
    <t>OLKBYNHEDMHHQA-IOIMVZBSSA-N</t>
  </si>
  <si>
    <t>NZXFAMRCCGUQGQ-BQYQJAHWSA-N</t>
  </si>
  <si>
    <t>KZJWDPNRJALLNS-BWRKXDIJSA-N</t>
  </si>
  <si>
    <t>KMERUCZFQUUVRY-REZBVGGZSA-N</t>
  </si>
  <si>
    <t>QRFJDYPDABYWFH-XTKXOIQPSA-N</t>
  </si>
  <si>
    <t>NSRKLZRKJJQJLD-PRXNRYBNSA-N</t>
  </si>
  <si>
    <t>Cycloartanols and derivatives</t>
  </si>
  <si>
    <t>JWMIAIJDECOUIA-VOTSOKGWSA-N</t>
  </si>
  <si>
    <t>BNHKXOIJKIMOJH-UHFFFAOYSA-N</t>
  </si>
  <si>
    <t>HVYWMOMLDIMFJA-UHFFFAOYSA-N</t>
  </si>
  <si>
    <t>Cholestane steroids</t>
  </si>
  <si>
    <t>Cholesterols and derivatives</t>
  </si>
  <si>
    <t>RUFZHRQGVMKFMM-UHFFFAOYSA-N</t>
  </si>
  <si>
    <t>XBWACJDEQIZTPR-UHFFFAOYSA-N</t>
  </si>
  <si>
    <t>IWKDYMLYPUILJQ-BZSNNMDCSA-N</t>
  </si>
  <si>
    <t>YIRAHEODBQONHI-SBJFKYEJSA-N</t>
  </si>
  <si>
    <t>KXSDPILWMGFJMM-AGROOBSYSA-N</t>
  </si>
  <si>
    <t>KXSDPILWMGFJMM-OPRDCNLKSA-N</t>
  </si>
  <si>
    <t>IEVAKUCVZWTRHQ-UHFFFAOYSA-N</t>
  </si>
  <si>
    <t>Halogenated fatty acids</t>
  </si>
  <si>
    <t>KMTSPKJHYJTHDH-UHFFFAOYSA-N</t>
  </si>
  <si>
    <t>LPIFCQNRXOOVGL-UHFFFAOYSA-N</t>
  </si>
  <si>
    <t>Benzothiazoles</t>
  </si>
  <si>
    <t>Tetralins</t>
  </si>
  <si>
    <t>TUFOJIVMBHBZRQ-UHFFFAOYSA-N</t>
  </si>
  <si>
    <t>Aryl alkyl ketones</t>
  </si>
  <si>
    <t>CMOGDVKTFYEQGC-OAHLLOKOSA-N</t>
  </si>
  <si>
    <t>Acetophenones</t>
  </si>
  <si>
    <t>ZPRIUICAOWKGGY-VMPITWQZSA-N</t>
  </si>
  <si>
    <t>LGFZYQVEWDKGLZ-FNORWQNLSA-N</t>
  </si>
  <si>
    <t>NJICGAVMYWKCMW-UHFFFAOYSA-N</t>
  </si>
  <si>
    <t>ZKUFWHYBAKVWMB-UHFFFAOYSA-N</t>
  </si>
  <si>
    <t>CVTYVAYUZRZJOJ-UHFFFAOYSA-N</t>
  </si>
  <si>
    <t>Flavones</t>
  </si>
  <si>
    <t>Flavonols</t>
  </si>
  <si>
    <t>HZKNHDLUFBYIQN-VMPITWQZSA-N</t>
  </si>
  <si>
    <t>DOKRIYSHGXAVFI-UHFFFAOYSA-N</t>
  </si>
  <si>
    <t>ORKOCTJFEOMBGA-WSZGUFMCSA-N</t>
  </si>
  <si>
    <t>LKQMMFFQYMYQOJ-UHFFFAOYSA-N</t>
  </si>
  <si>
    <t>2-Propenoic acid, 3-(4-hydroxyphenyl)-, methyl ester</t>
  </si>
  <si>
    <t>Cinnamic acid, 3,4-bis(trimethylsiloxy)-, methyl ester</t>
  </si>
  <si>
    <t>Phoratoxon sulfone</t>
  </si>
  <si>
    <t>Ethyl(trimethylsilyl) succinate</t>
  </si>
  <si>
    <t>Ethyl 7-hydroxycoumarin-4-carboxylate</t>
  </si>
  <si>
    <t>5-(4-Diethylaminobenzylidene)rhodanine</t>
  </si>
  <si>
    <t>Heneicosylhexadecanoate</t>
  </si>
  <si>
    <t>Dotriacontyl hexadecanoate</t>
  </si>
  <si>
    <t>Nonahexacontanoic acid</t>
  </si>
  <si>
    <t>Silane, trichloroeicosyl-</t>
  </si>
  <si>
    <t>4-Methyl-1,4-heptadiene</t>
  </si>
  <si>
    <t>(S)(+)-Z-13-Methyl-11-pentadecen-1-ol acetate</t>
  </si>
  <si>
    <t>(R)-(-)-(Z)-14-Methyl-8-hexadecen-1-ol</t>
  </si>
  <si>
    <t>Imbricatoloic acid</t>
  </si>
  <si>
    <t>Isomyocorene</t>
  </si>
  <si>
    <t>9,19-Cyclolanost-7-en-3-ol</t>
  </si>
  <si>
    <t>N-(3-Allyl-2-oxo-2,3-dihydro-1,3-benzothiazol-6-yl)acetamide</t>
  </si>
  <si>
    <t>p-Coumaric acid prenyl ester</t>
  </si>
  <si>
    <t>Prenylflavonol</t>
  </si>
  <si>
    <t>Prenylflavanone</t>
  </si>
  <si>
    <t>Caffeic acid isoprenyl ester</t>
  </si>
  <si>
    <t>XRLNYXKIZHIFEU-IDTNCNQQSA-N</t>
  </si>
  <si>
    <t>BYLJEQIUXOYKOB-BQYQJAHWSA-N</t>
  </si>
  <si>
    <t>MKPMHJQMNACGDI-ZJUUUORDSA-N</t>
  </si>
  <si>
    <t>LKQMMFFQYMYQOJ-KYEXWDHISA-N</t>
  </si>
  <si>
    <t>AEKJTLISCSMKLR-UHFFFAOYSA-N</t>
  </si>
  <si>
    <t>YWNGYHIQQHWFJD-UHFFFAOYSA-N</t>
  </si>
  <si>
    <t>Azoles</t>
  </si>
  <si>
    <t>Pyrazoles</t>
  </si>
  <si>
    <t>Phenylpyrazoles</t>
  </si>
  <si>
    <t>QIQDBLIPRDDOMV-UHFFFAOYSA-N</t>
  </si>
  <si>
    <t>Hydropyridines</t>
  </si>
  <si>
    <t>Pyridinones</t>
  </si>
  <si>
    <t>NHFRGTVSKOPUBK-UHFFFAOYSA-N</t>
  </si>
  <si>
    <t>TWNIBLMWSKIRAT-BYIBVSMXSA-N</t>
  </si>
  <si>
    <t>UFCLZKMFXSILNL-RVXRWRFUSA-M</t>
  </si>
  <si>
    <t>JQUGYGVCECHKBA-UHFFFAOYSA-N</t>
  </si>
  <si>
    <t>Trialkylheterosilanes</t>
  </si>
  <si>
    <t>QCOBWZRPFJZHGU-UHFFFAOYSA-N</t>
  </si>
  <si>
    <t>Trimethylsilyl esters</t>
  </si>
  <si>
    <t>QUUDZINXVRFXLB-UHFFFAOYSA-N</t>
  </si>
  <si>
    <t>KHVUOWWPNVBADO-UHFFFAOYSA-N</t>
  </si>
  <si>
    <t>YONHOSLUBQJXPR-RMTCENKZSA-N</t>
  </si>
  <si>
    <t>OZNHATCGPKOFBH-BAPPCMJTSA-N</t>
  </si>
  <si>
    <t>LIIFBMGUDSHTOU-CFYIDONUSA-N</t>
  </si>
  <si>
    <t>XWFVRMWMBYDDFY-WPRPVWTQSA-N</t>
  </si>
  <si>
    <t>XEZRPKWKRMROBK-UHFFFAOYSA-N</t>
  </si>
  <si>
    <t>2-benzopyrans</t>
  </si>
  <si>
    <t>KIIIPQXXLVCCQP-UHFFFAOYSA-N</t>
  </si>
  <si>
    <t>4-alkoxyphenols</t>
  </si>
  <si>
    <t>GVJMOYXLONOQAI-UHFFFAOYSA-N</t>
  </si>
  <si>
    <t>Benzenesulfonamides</t>
  </si>
  <si>
    <t>MRFBEUTXKBRYNS-UHFFFAOYSA-N</t>
  </si>
  <si>
    <t>OMIXPCVTNXXLNX-UHFFFAOYSA-N</t>
  </si>
  <si>
    <t>Thianes</t>
  </si>
  <si>
    <t>MBCLPXXVLKGFPM-FMIVXFBMSA-N</t>
  </si>
  <si>
    <t>XANJIFLJGFYUDD-UHFFFAOYSA-N</t>
  </si>
  <si>
    <t>KXAVXNWSOPHOON-UHFFFAOYSA-N</t>
  </si>
  <si>
    <t>GWJCFAOQCNNFAM-ZDVGBALWSA-N</t>
  </si>
  <si>
    <t>UEDJSCQXZFTMLQ-ZDVGBALWSA-N</t>
  </si>
  <si>
    <t>UQQJZVPOUBXAKS-KWIKPQDASA-N</t>
  </si>
  <si>
    <t>SLLSNGIQYQETOT-OGEONMARSA-N</t>
  </si>
  <si>
    <t>VYFSOVMGRZVLMP-UHFFFAOYSA-N</t>
  </si>
  <si>
    <t>YCOMGIOWVNOOBC-YZDAJDCNSA-N</t>
  </si>
  <si>
    <t>QBNCGBJHGBGHLS-ZMHWZQNNSA-N</t>
  </si>
  <si>
    <t>KWQCJDUIPGVKAU-UHFFFAOYSA-N</t>
  </si>
  <si>
    <t>PSINWXIDJYEXLO-UHFFFAOYSA-N</t>
  </si>
  <si>
    <t>XCKTXKYXKJJGBA-UHFFFAOYSA-N</t>
  </si>
  <si>
    <t>Chromones</t>
  </si>
  <si>
    <t>NEBQMYHKOREVAL-UHFFFAOYSA-N</t>
  </si>
  <si>
    <t>RZEWSEYBPSODHO-UHFFFAOYSA-N</t>
  </si>
  <si>
    <t>Cinnolines</t>
  </si>
  <si>
    <t>DTOSIQBPPRVQHS-UHFFFAOYSA-N</t>
  </si>
  <si>
    <t>LVMTVPFRTKXRPH-UHFFFAOYSA-N</t>
  </si>
  <si>
    <t>Allenes</t>
  </si>
  <si>
    <t>Acyclic allenes</t>
  </si>
  <si>
    <t>SDZQUCJFTUULJX-SNAWJCMRSA-N</t>
  </si>
  <si>
    <t>PYZHESNNAPENLQ-UHFFFAOYSA-N</t>
  </si>
  <si>
    <t>XTUIETPOMPQEIS-UHFFFAOYSA-N</t>
  </si>
  <si>
    <t>FRGDXZRZDAJTOU-UHFFFAOYSA-N</t>
  </si>
  <si>
    <t>LIVRDRUFOJECRK-MSOLQXFVSA-N</t>
  </si>
  <si>
    <t>FBGXENQFSMMBNY-UHFFFAOYSA-N</t>
  </si>
  <si>
    <t>PLUKUDPETUOLLD-UHFFFAOYSA-N</t>
  </si>
  <si>
    <t>ZIXLDMFVRPABBX-UHFFFAOYSA-N</t>
  </si>
  <si>
    <t>DPHLFUXQEZYZAP-UHFFFAOYSA-N</t>
  </si>
  <si>
    <t>XAAMMPKFMNZIIC-UHFFFAOYSA-N</t>
  </si>
  <si>
    <t>XPGWKKLDFXNBPJ-UHFFFAOYSA-N</t>
  </si>
  <si>
    <t>GLKQAHXBJLGAFT-UHFFFAOYSA-N</t>
  </si>
  <si>
    <t>FIPKSKMDTAQBDJ-UHFFFAOYSA-N</t>
  </si>
  <si>
    <t>Indanes</t>
  </si>
  <si>
    <t>LGOFSGDSFQNIAT-UHFFFAOYSA-N</t>
  </si>
  <si>
    <t>OSXGCNJUBCSZET-UHFFFAOYSA-N</t>
  </si>
  <si>
    <t>QWRTXOOFEHOROQ-UHFFFAOYSA-N</t>
  </si>
  <si>
    <t>DFHGJIJFSPSKJV-UHFFFAOYSA-N</t>
  </si>
  <si>
    <t>FMXKKHBXBBAQBC-UHFFFAOYSA-N</t>
  </si>
  <si>
    <t>VPDZRSSKICPUEY-MBTGMABISA-N</t>
  </si>
  <si>
    <t>FQEXRDMYDXBXEO-UHFFFAOYSA-N</t>
  </si>
  <si>
    <t>SFVUIUUSVAMYPP-UHFFFAOYSA-N</t>
  </si>
  <si>
    <t>Oxacyclic compounds</t>
  </si>
  <si>
    <t>MXNBXEFODBPXBQ-UHFFFAOYSA-N</t>
  </si>
  <si>
    <t>Isoindoles and derivatives</t>
  </si>
  <si>
    <t>Isoindolines</t>
  </si>
  <si>
    <t>Isoindolones</t>
  </si>
  <si>
    <t>Phthalimides</t>
  </si>
  <si>
    <t>NFRNQIUUFKWQQG-LFIBNONCSA-N</t>
  </si>
  <si>
    <t>HICYDYJTCDBHMZ-QVHKTLOISA-N</t>
  </si>
  <si>
    <t>PMZBHPUNQNKBOA-UHFFFAOYSA-N</t>
  </si>
  <si>
    <t>ILEIUTCVWLYZOM-UHFFFAOYSA-N</t>
  </si>
  <si>
    <t>Benzaldehydes</t>
  </si>
  <si>
    <t>Hydroxybenzaldehydes</t>
  </si>
  <si>
    <t>CVIGNZLXCQGQNR-UHFFFAOYSA-N</t>
  </si>
  <si>
    <t>QCKGKVKLMOUFSZ-UHFFFAOYSA-N</t>
  </si>
  <si>
    <t>WONIGEXYPVIKFS-HRDYMLBCSA-N</t>
  </si>
  <si>
    <t>MTCGSLDAATXWFP-UHFFFAOYSA-N</t>
  </si>
  <si>
    <t>HBAMBNBHXUKHFM-UHFFFAOYSA-N</t>
  </si>
  <si>
    <t>Organobromides</t>
  </si>
  <si>
    <t>GBEJULSURQZDNX-PLNGDYQASA-N</t>
  </si>
  <si>
    <t>IGGWKHQYMAJOHK-UHFFFAOYSA-N</t>
  </si>
  <si>
    <t>DQBDGNSFXSCBJX-UHFFFAOYSA-N</t>
  </si>
  <si>
    <t>Cyclohexanols</t>
  </si>
  <si>
    <t>YRBXRKRLOGXJAN-UHFFFAOYSA-N</t>
  </si>
  <si>
    <t>YHNHHRQJUIOAOJ-UHFFFAOYSA-N</t>
  </si>
  <si>
    <t>LYCWBLQUCZRTGA-UHFFFAOYSA-N</t>
  </si>
  <si>
    <t>OOUWONJHYOAQNL-UHFFFAOYSA-N</t>
  </si>
  <si>
    <t>MKZIRHIVARSBHI-UHFFFAOYSA-N</t>
  </si>
  <si>
    <t>IGPYBWWHHSNJDY-UHFFFAOYSA-N</t>
  </si>
  <si>
    <t>GRCMSFFGWKAZLY-UHFFFAOYSA-N</t>
  </si>
  <si>
    <t>LCYXQUJDODZYIJ-VGMNWLOBSA-N</t>
  </si>
  <si>
    <t>XRHLZWNTCOKXCJ-UHFFFAOYSA-N</t>
  </si>
  <si>
    <t>Naphthols and derivatives</t>
  </si>
  <si>
    <t>LRCVZTUZPOPXCV-BVZFJXPGSA-N</t>
  </si>
  <si>
    <t>NUHBQZRCJMNSJD-PWHKKFIBSA-N</t>
  </si>
  <si>
    <t>Diarylheptanoids</t>
  </si>
  <si>
    <t>Linear diarylheptanoids</t>
  </si>
  <si>
    <t>Curcuminoids</t>
  </si>
  <si>
    <t>AWADGPGGHLGLFD-CEUUDISYSA-N</t>
  </si>
  <si>
    <t>NJICGAVMYWKCMW-CKHDAVRFSA-N</t>
  </si>
  <si>
    <t>NJICGAVMYWKCMW-AUROBHDASA-N</t>
  </si>
  <si>
    <t>NJICGAVMYWKCMW-IVNRWJFWSA-N</t>
  </si>
  <si>
    <t>NJICGAVMYWKCMW-NDPRXXAXSA-N</t>
  </si>
  <si>
    <t>KRBQTSQFVGQYPZ-ISLYRVAYSA-N</t>
  </si>
  <si>
    <t>JRFITZGBELIFQM-UHFFFAOYSA-N</t>
  </si>
  <si>
    <t>ODSSDTBFHAYYMD-UHFFFAOYSA-N</t>
  </si>
  <si>
    <t>LKQMMFFQYMYQOJ-COMQUAJESA-N</t>
  </si>
  <si>
    <t>DPQYOKVMVCQHMY-TUVASFSCSA-N</t>
  </si>
  <si>
    <t>SRONXYPFSAKOGH-UHFFFAOYSA-N</t>
  </si>
  <si>
    <t>ZRLAJSMFDYQOTR-UHFFFAOYSA-N</t>
  </si>
  <si>
    <t>QULYEQNVFMJNLT-UHFFFAOYSA-N</t>
  </si>
  <si>
    <t>CIISBNCSMVCNIP-UHFFFAOYSA-N</t>
  </si>
  <si>
    <t>KRZBCHWVBQOTNZ-KBGJWNOUSA-N</t>
  </si>
  <si>
    <t>UFCLZKMFXSILNL-VCFKWBLOSA-N</t>
  </si>
  <si>
    <t>DZFROCAXLIJHAR-UHFFFAOYSA-N</t>
  </si>
  <si>
    <t>Benzoquinolines</t>
  </si>
  <si>
    <t>Phenanthridines and derivatives</t>
  </si>
  <si>
    <t>TYBYHEXFKFLRFT-UHFFFAOYSA-N</t>
  </si>
  <si>
    <t>Nitroquinolines and derivatives</t>
  </si>
  <si>
    <t>PGENSGMJPOQJDP-UHFFFAOYSA-N</t>
  </si>
  <si>
    <t>FPMQRPNIECLHRN-UHFFFAOYSA-N</t>
  </si>
  <si>
    <t>FKHVUWRLXRMJLF-UHFFFAOYSA-N</t>
  </si>
  <si>
    <t>Failed</t>
  </si>
  <si>
    <t>NAFYHLQTAPLJKI-UHFFFAOYSA-N</t>
  </si>
  <si>
    <t>FEIQOMCWGDNMHM-UHFFFAOYSA-N</t>
  </si>
  <si>
    <t>VRJXMBLXURKDEB-UHFFFAOYSA-N</t>
  </si>
  <si>
    <t>Not Found</t>
  </si>
  <si>
    <t>AWGTVRDHKJQFAX-UHFFFAOYSA-M</t>
  </si>
  <si>
    <t>ZEPCRIPMALGRJR-UHFFFAOYSA-N</t>
  </si>
  <si>
    <t>DYQVQSUVEDCHDD-UHFFFAOYSA-N</t>
  </si>
  <si>
    <t>Enynes</t>
  </si>
  <si>
    <t>HVVZVBWIBBTXAJ-UHFFFAOYSA-N</t>
  </si>
  <si>
    <t>Indenes and isoindenes</t>
  </si>
  <si>
    <t>LYRUHTQXEPJJBJ-FZWLCVONSA-N</t>
  </si>
  <si>
    <t>GJYMQFMQRRNLCY-ONEGZZNKSA-N</t>
  </si>
  <si>
    <t>NEJDKFPXHQRVMV-HYXAFXHYSA-N</t>
  </si>
  <si>
    <t>YAPXSYXFLHDPCK-MAUDFNNOSA-N</t>
  </si>
  <si>
    <t>VPDZRSSKICPUEY-GXAHUOMZSA-N</t>
  </si>
  <si>
    <t>VPDZRSSKICPUEY-AGJXFOQBSA-N</t>
  </si>
  <si>
    <t>VPDZRSSKICPUEY-SUYBHAEQSA-N</t>
  </si>
  <si>
    <t>DMHADBQKVWXPPM-HJGUKDBDSA-N</t>
  </si>
  <si>
    <t>DMHADBQKVWXPPM-JNTUPPFWSA-N</t>
  </si>
  <si>
    <t>DMHADBQKVWXPPM-ZTAOLZRRSA-N</t>
  </si>
  <si>
    <t>LEOHDQKUMQKLMP-FFIUSHDYSA-N</t>
  </si>
  <si>
    <t>HTNCYKZTYXSRHL-DYKIIFRCSA-N</t>
  </si>
  <si>
    <t>DPHLFUXQEZYZAP-SLEUVZQESA-N</t>
  </si>
  <si>
    <t>PGTJIOWQJWHTJJ-QWHCGFSZSA-N</t>
  </si>
  <si>
    <t>HVYWMOMLDIMFJA-LEAREVLRSA-N</t>
  </si>
  <si>
    <t>HKHZTFYAIULRRZ-MGQFBESWSA-N</t>
  </si>
  <si>
    <t>KHRXLABAHCIXIJ-VGMYXFKYSA-N</t>
  </si>
  <si>
    <t>PNNNRSAQSRJVSB-SLPGGIOYSA-N</t>
  </si>
  <si>
    <t>FUQAYSQLAOJBBC-CXTZMWEQSA-N</t>
  </si>
  <si>
    <t>PDSNLYSELAIEBU-CDKPOMLUSA-N</t>
  </si>
  <si>
    <t>AMBWBOGMCKEWTN-UHFFFAOYSA-N</t>
  </si>
  <si>
    <t>PDSNLYSELAIEBU-XZNOPERXSA-N</t>
  </si>
  <si>
    <t>ZUBZATZOEPUUQF-UHFFFAOYSA-N</t>
  </si>
  <si>
    <t>JWGLVEFPXSKNBN-UHFFFAOYSA-N</t>
  </si>
  <si>
    <t>GYUZHTWCNKINPY-UHFFFAOYSA-N</t>
  </si>
  <si>
    <t>Tetrahydrofurans</t>
  </si>
  <si>
    <t>KLTVSWGXIAYTHO-UHFFFAOYSA-N</t>
  </si>
  <si>
    <t>RRXOQHQFJOQLQR-AATRIKPKSA-N</t>
  </si>
  <si>
    <t>CRNGFKXWIYTEPH-UHFFFAOYSA-N</t>
  </si>
  <si>
    <t>ORHBXUUXSCNDEV-UHFFFAOYSA-N</t>
  </si>
  <si>
    <t>ILEDWLMCKZNDJK-UHFFFAOYSA-N</t>
  </si>
  <si>
    <t>6,7-dihydroxycoumarins</t>
  </si>
  <si>
    <t>WTYGAUXICFETTC-UHFFFAOYSA-N</t>
  </si>
  <si>
    <t>HBEDSQVIWPRPAY-UHFFFAOYSA-N</t>
  </si>
  <si>
    <t>Coumarans</t>
  </si>
  <si>
    <t>BGEBZHIAGXMEMV-UHFFFAOYSA-N</t>
  </si>
  <si>
    <t>5-methoxypsoralens</t>
  </si>
  <si>
    <t>RODXRVNMMDRFIK-UHFFFAOYSA-N</t>
  </si>
  <si>
    <t>QNFBKOHHLAWWTC-UHFFFAOYSA-N</t>
  </si>
  <si>
    <t>HAVWRBANWNTOJX-UHFFFAOYSA-N</t>
  </si>
  <si>
    <t>7,8-dihydroxycoumarins</t>
  </si>
  <si>
    <t>PKXAQFKGSXYQJX-YMAMQOFZSA-N</t>
  </si>
  <si>
    <t>LZAKUZBAAQDJCF-UHFFFAOYSA-N</t>
  </si>
  <si>
    <t>BRHDDEIRQPDPMG-UHFFFAOYSA-N</t>
  </si>
  <si>
    <t>BRZANEXCSZCZCI-UHFFFAOYSA-N</t>
  </si>
  <si>
    <t>IFYYFLINQYPWGJ-UHFFFAOYSA-N</t>
  </si>
  <si>
    <t>SATCULPHIDQDRE-UHFFFAOYSA-N</t>
  </si>
  <si>
    <t>Benzodioxoles</t>
  </si>
  <si>
    <t>SGTCGCCQZOUMJJ-YMILTQATSA-N</t>
  </si>
  <si>
    <t>Coumarin glycosides</t>
  </si>
  <si>
    <t>RJZGHQFMKACAHM-INIZCTEOSA-N</t>
  </si>
  <si>
    <t>AVOLBYOSCILFLL-UHFFFAOYSA-N</t>
  </si>
  <si>
    <t>PFOJEJPZUVQHEH-UHFFFAOYSA-N</t>
  </si>
  <si>
    <t>XHIUFYZDQBSEMF-UHFFFAOYSA-N</t>
  </si>
  <si>
    <t>GODLCSLPZIBRMG-UHFFFAOYSA-N</t>
  </si>
  <si>
    <t>Depsides and depsidones</t>
  </si>
  <si>
    <t>IUOFQMYQDUARQU-RAXLEYEMSA-N</t>
  </si>
  <si>
    <t>PPNRRQMJESAXGJ-SREVYHEPSA-N</t>
  </si>
  <si>
    <t>DOJDQRFOTHOBEK-UHFFFAOYSA-N</t>
  </si>
  <si>
    <t>XAOGXQMKWQFZEM-UHFFFAOYSA-N</t>
  </si>
  <si>
    <t>YDDGKXBLOXEEMN-IABMMNSOSA-N</t>
  </si>
  <si>
    <t>Tetracarboxylic acids and derivatives</t>
  </si>
  <si>
    <t>HKNNSWCACQFVIK-UHFFFAOYSA-N</t>
  </si>
  <si>
    <t>CXQXSVUQTKDNFP-UHFFFAOYSA-N</t>
  </si>
  <si>
    <t>Siloxanes</t>
  </si>
  <si>
    <t>YWHLKYXPLRWGSE-UHFFFAOYSA-N</t>
  </si>
  <si>
    <t>Organic trisulfides</t>
  </si>
  <si>
    <t>NVEQFIOZRFFVFW-RGCMKSIDSA-N</t>
  </si>
  <si>
    <t>VLIUMVVQGMLOJG-SEBNEYGDSA-N</t>
  </si>
  <si>
    <t>BRHDDEIRQPDPMG-WCBMZHEXSA-N</t>
  </si>
  <si>
    <t>FQXXSQDCDRQNQE-VMDGZTHMSA-N</t>
  </si>
  <si>
    <t>GJRQTCIYDGXPES-UHFFFAOYSA-N</t>
  </si>
  <si>
    <t>MLFHJEHSLIIPHL-UHFFFAOYSA-N</t>
  </si>
  <si>
    <t>IAMNVCJECQWBLZ-UHFFFAOYSA-N</t>
  </si>
  <si>
    <t>OCNYGKNIVPVPPX-HWKANZROSA-N</t>
  </si>
  <si>
    <t>WDKYDMULARNCIS-GQCTYLIASA-N</t>
  </si>
  <si>
    <t>PTFIPECGHSYQNR-UHFFFAOYSA-N</t>
  </si>
  <si>
    <t>MSHFRERJPWKJFX-UHFFFAOYSA-N</t>
  </si>
  <si>
    <t>ZFMSMUAANRJZFM-UHFFFAOYSA-N</t>
  </si>
  <si>
    <t>LQGUBLBATBMXHT-UHFFFAOYSA-N</t>
  </si>
  <si>
    <t>UUNPIWCQMVNINR-UHFFFAOYSA-N</t>
  </si>
  <si>
    <t>Hydroxyanthraquinones</t>
  </si>
  <si>
    <t>FFWOKTFYGVYKIR-UHFFFAOYSA-N</t>
  </si>
  <si>
    <t>RHMXXJGYXNZAPX-UHFFFAOYSA-N</t>
  </si>
  <si>
    <t>LAAPRQODJPXAHC-AATRIKPKSA-N</t>
  </si>
  <si>
    <t>OSWPMRLSEDHDFF-UHFFFAOYSA-N</t>
  </si>
  <si>
    <t>QPJVMBTYPHYUOC-UHFFFAOYSA-N</t>
  </si>
  <si>
    <t>FEXQDZTYJVXMOS-UHFFFAOYSA-N</t>
  </si>
  <si>
    <t>ARDWPGKUNNUACS-GQCTYLIASA-N</t>
  </si>
  <si>
    <t>DBKGCLWEGDYCGR-UHFFFAOYSA-N</t>
  </si>
  <si>
    <t>CUGDOWNTXKLQMD-BQYQJAHWSA-N</t>
  </si>
  <si>
    <t>PFTAWBLQPZVEMU-DZGCQCFKSA-N</t>
  </si>
  <si>
    <t>Flavan-3-ols</t>
  </si>
  <si>
    <t>Catechins</t>
  </si>
  <si>
    <t>VFZYLYJWCROVLO-DZGCQCFKSA-N</t>
  </si>
  <si>
    <t>YCIMNLLNPGFGHC-UHFFFAOYSA-N</t>
  </si>
  <si>
    <t>VEZIKIAGFYZTCI-VMPITWQZSA-N</t>
  </si>
  <si>
    <t>CCRCUPLGCSFEDV-BQYQJAHWSA-N</t>
  </si>
  <si>
    <t>NITWSHWHQAQBAW-QPJJXVBHSA-N</t>
  </si>
  <si>
    <t>1-Phenyl-3-(2-nitrophenyl)-2-pyrazoline</t>
  </si>
  <si>
    <t>12-Azabicyclo[9.2.2]pentadeca-1(14),11(15)-dien-13-one</t>
  </si>
  <si>
    <t>Trimethylsilyl ether of glycerol</t>
  </si>
  <si>
    <t>Propanedioic acid, bis[(trimethylsilyl)oxy]-, bis(trimethylsilyl) ester</t>
  </si>
  <si>
    <t>Ledene oxide</t>
  </si>
  <si>
    <t>4-n-Hexylthiane, S,S-dioxide</t>
  </si>
  <si>
    <t>11,14-Eicosadienoic acid, methyl ester</t>
  </si>
  <si>
    <t>Pentenyl ferulate</t>
  </si>
  <si>
    <t>Pentenyl caffeate</t>
  </si>
  <si>
    <t>9,12-Hexadecadienoic acid, methyl ester</t>
  </si>
  <si>
    <t>Z,E-2,13-Octadecadien-1-ol</t>
  </si>
  <si>
    <t>Z,E-3,13-Octadecadien-1-ol</t>
  </si>
  <si>
    <t>Cyclodocosane, ethyl-</t>
  </si>
  <si>
    <t>6-Ethyl-3-formylchromone</t>
  </si>
  <si>
    <t>9,12,15-Octadecatrienoic acid</t>
  </si>
  <si>
    <t>1,2-Pentadiene</t>
  </si>
  <si>
    <t>3-Hepten-1-ol</t>
  </si>
  <si>
    <t>2-Methylbutyl benzoate</t>
  </si>
  <si>
    <t>Methyl 13-methylpentadecanoate</t>
  </si>
  <si>
    <t>Pinobanksin 3-O-propanoate</t>
  </si>
  <si>
    <t>8-Methyloctahydrocoumarin</t>
  </si>
  <si>
    <t>2-Methylcyclopentanone</t>
  </si>
  <si>
    <t>Isoaromadendrene epoxide</t>
  </si>
  <si>
    <t>Bulnesol</t>
  </si>
  <si>
    <t>Palustrol</t>
  </si>
  <si>
    <t>p-Mentha-1,5-dien-8-ol</t>
  </si>
  <si>
    <t>2(1H)Naphthalenone, 3,5,6,7,8,8a-hexahydro-4,8a-dimethyl-6-(1-methylethenyl)-</t>
  </si>
  <si>
    <t>28-Norolean-17-en-3-one</t>
  </si>
  <si>
    <t>3,12-Oleandione</t>
  </si>
  <si>
    <t>Clovene</t>
  </si>
  <si>
    <t>2(1H)-Naphthalenone, 3,4,4a,5,6,7-hexahydro-1,1,4a-trimethyl-</t>
  </si>
  <si>
    <t>1,5-Diacetyl-2,6-naphthalenediol</t>
  </si>
  <si>
    <t>propolis-benzofuran A</t>
  </si>
  <si>
    <t>Dicoumaroyl acetyl glycerol</t>
  </si>
  <si>
    <t>Diprenyl-p-coumaric acid</t>
  </si>
  <si>
    <t>Neointermedeol</t>
  </si>
  <si>
    <t>Cyclopentadecane</t>
  </si>
  <si>
    <t>Cycloheptadecanol</t>
  </si>
  <si>
    <t>5(4H)-Thebenidinone</t>
  </si>
  <si>
    <t>5-Amino-6-nitroquinoline</t>
  </si>
  <si>
    <t>4-Cyclohepta-2,4,6-trienyl-benzoylazide</t>
  </si>
  <si>
    <t>2-Imino-5-phenyl-1,2-dihydro-3H-1,3,4-benzotriazepine</t>
  </si>
  <si>
    <t>3,4,5-Triphenylpyrazole</t>
  </si>
  <si>
    <t>Cinnamylideneacetic acid</t>
  </si>
  <si>
    <t>2,4,6-Trihydroxydihydrochalcone</t>
  </si>
  <si>
    <t>1,3,7-Octatrien-5-yne</t>
  </si>
  <si>
    <t>13,16-Octadecadienoic acid, methyl ester</t>
  </si>
  <si>
    <t>2-Buten-1-ol, 2-methyl-</t>
  </si>
  <si>
    <t>Thunbergol</t>
  </si>
  <si>
    <t>Cypera-2,4-diene</t>
  </si>
  <si>
    <t>trans-Calamenene</t>
  </si>
  <si>
    <t>Cholest-7-en-3-ol-15-one, 14-methyl-</t>
  </si>
  <si>
    <t>Caryolan-8-ol</t>
  </si>
  <si>
    <t>Esculetin</t>
  </si>
  <si>
    <t>Cyclobarbital</t>
  </si>
  <si>
    <t>Fraxidin</t>
  </si>
  <si>
    <t>Nephrosteranic acid</t>
  </si>
  <si>
    <t>Nifenazone</t>
  </si>
  <si>
    <t>gamma-decalactone</t>
  </si>
  <si>
    <t>Scopolin</t>
  </si>
  <si>
    <t>2-Methylbutyl acetate</t>
  </si>
  <si>
    <t>Evernic acid</t>
  </si>
  <si>
    <t>7-Methyl-Z-tetradecen-1-ol acetate</t>
  </si>
  <si>
    <t>Octamethyltrisiloxane</t>
  </si>
  <si>
    <t>Caryophyllene oxide</t>
  </si>
  <si>
    <t>Daucol</t>
  </si>
  <si>
    <t>Thebaine</t>
  </si>
  <si>
    <t>4-Hydroxy-2-methylacetophenone</t>
  </si>
  <si>
    <t>Chrysophanol</t>
  </si>
  <si>
    <t>Coniferyl benzoate</t>
  </si>
  <si>
    <t>Methyl salicylate</t>
  </si>
  <si>
    <t>Methyl benzoate</t>
  </si>
  <si>
    <t>Isopentyl caffeate</t>
  </si>
  <si>
    <t>2,4-Dihydroxy-6-methoxychalcone</t>
  </si>
  <si>
    <t>Pinostrobin chalcone</t>
  </si>
  <si>
    <t>Fisetinidol</t>
  </si>
  <si>
    <t>BOLQJTPHPSDZHR-UHFFFAOYSA-N</t>
  </si>
  <si>
    <t>IUNJCFABHJZSKB-UHFFFAOYSA-N</t>
  </si>
  <si>
    <t>IBGBGRVKPALMCQ-UHFFFAOYSA-N</t>
  </si>
  <si>
    <t>GLDQAMYCGOIJDV-UHFFFAOYSA-N</t>
  </si>
  <si>
    <t>WXTMDXOMEHJXQO-UHFFFAOYSA-N</t>
  </si>
  <si>
    <t>JMSVCTWVEWCHDZ-UHFFFAOYSA-N</t>
  </si>
  <si>
    <t>Gallic acid and derivatives</t>
  </si>
  <si>
    <t>DAUAQNGYDSHRET-UHFFFAOYSA-N</t>
  </si>
  <si>
    <t>P-methoxybenzoic acids and derivatives</t>
  </si>
  <si>
    <t>YIKHDPHTFYWYJV-GQCTYLIASA-N</t>
  </si>
  <si>
    <t>DZAPHTCUSDTZAT-CSKARUKUSA-N</t>
  </si>
  <si>
    <t>AUJXJFHANFIVKH-GQCTYLIASA-N</t>
  </si>
  <si>
    <t>XPZQBSCTDLGDBP-UHFFFAOYSA-N</t>
  </si>
  <si>
    <t>O-methylated isoflavonoids</t>
  </si>
  <si>
    <t>4'-O-methylated isoflavonoids</t>
  </si>
  <si>
    <t>O-methylated flavonoids</t>
  </si>
  <si>
    <t>4'-O-methylated flavonoids</t>
  </si>
  <si>
    <t>HMUJXQRRKBLVOO-AWEZNQCLSA-N</t>
  </si>
  <si>
    <t>QQQCWVDPMPFUGF-ZDUSSCGKSA-N</t>
  </si>
  <si>
    <t>5-O-methylated flavonoids</t>
  </si>
  <si>
    <t>ORJDDOBAOGKRJV-UHFFFAOYSA-N</t>
  </si>
  <si>
    <t>7-O-methylated flavonoids</t>
  </si>
  <si>
    <t>RBTSKEDOUJLPHO-UHFFFAOYSA-N</t>
  </si>
  <si>
    <t>ORJDDOBAOGKRJV-AWEZNQCLSA-N</t>
  </si>
  <si>
    <t>DJOJDHGQRNZXQQ-AWEZNQCLSA-N</t>
  </si>
  <si>
    <t>ORJDDOBAOGKRJV-CQSZACIVSA-N</t>
  </si>
  <si>
    <t>JPMYFOBNRRGFNO-UHFFFAOYSA-N</t>
  </si>
  <si>
    <t>WQCJOKYOIJVEFN-ZDUSSCGKSA-N</t>
  </si>
  <si>
    <t>FYIPCBNZSKNQSP-UHFFFAOYSA-N</t>
  </si>
  <si>
    <t>8-O-methylated flavonoids</t>
  </si>
  <si>
    <t>FTODBIPDTXRIGS-ZDUSSCGKSA-N</t>
  </si>
  <si>
    <t>3'-O-methylated flavonoids</t>
  </si>
  <si>
    <t>AIONOLUJZLIMTK-AWEZNQCLSA-N</t>
  </si>
  <si>
    <t>BJYHZSNSMVEQEH-SJORKVTESA-N</t>
  </si>
  <si>
    <t>PADQINQHPQKXNL-LSDHHAIUSA-N</t>
  </si>
  <si>
    <t>SBHXYTNGIZCORC-ZDUSSCGKSA-N</t>
  </si>
  <si>
    <t>QUQPHWDTPGMPEX-QJBIFVCTSA-N</t>
  </si>
  <si>
    <t>Flavonoid-7-O-glycosides</t>
  </si>
  <si>
    <t>URFCJEUYXNAHFI-UHFFFAOYSA-N</t>
  </si>
  <si>
    <t>FURUXTVZLHCCNA-AWEZNQCLSA-N</t>
  </si>
  <si>
    <t>URFCJEUYXNAHFI-CYBMUJFWSA-N</t>
  </si>
  <si>
    <t>FTVWIRXFELQLPI-CYBMUJFWSA-N</t>
  </si>
  <si>
    <t>DDNPCXHBFYJXBJ-UHFFFAOYSA-N</t>
  </si>
  <si>
    <t>6-O-methylated flavonoids</t>
  </si>
  <si>
    <t>CBTHKWVPSIGKMI-UHFFFAOYSA-N</t>
  </si>
  <si>
    <t>GPQLHGCIAUEJQK-UHFFFAOYSA-N</t>
  </si>
  <si>
    <t>DANYIYRPLHHOCZ-UHFFFAOYSA-N</t>
  </si>
  <si>
    <t>QCDYOIZVELGOLZ-UHFFFAOYSA-N</t>
  </si>
  <si>
    <t>RJCJVIFSIXKSAH-UHFFFAOYSA-N</t>
  </si>
  <si>
    <t>SQFSKOYWJBQGKQ-UHFFFAOYSA-N</t>
  </si>
  <si>
    <t>YQABHAHJGSNVQR-UHFFFAOYSA-N</t>
  </si>
  <si>
    <t>LDRJANCOJOKOPS-UHFFFAOYSA-N</t>
  </si>
  <si>
    <t>MQBFFYQCZCKSBX-UHFFFAOYSA-N</t>
  </si>
  <si>
    <t>HRGUSFBJBOKSML-UHFFFAOYSA-N</t>
  </si>
  <si>
    <t>IRZVHDLBAYNPCT-UHFFFAOYSA-N</t>
  </si>
  <si>
    <t>RRRSSAVLTCVNIQ-UHFFFAOYSA-N</t>
  </si>
  <si>
    <t>BJBUTJQYZDYRMJ-UHFFFAOYSA-N</t>
  </si>
  <si>
    <t>LUJAXSNNYBCFEE-UHFFFAOYSA-N</t>
  </si>
  <si>
    <t>MQSZRBPYXNEFHF-UHFFFAOYSA-N</t>
  </si>
  <si>
    <t>JGUZGNYPMHHYRK-UHFFFAOYSA-N</t>
  </si>
  <si>
    <t>LYISDADPVOHJBJ-UHFFFAOYSA-N</t>
  </si>
  <si>
    <t>3-O-methylated flavonoids</t>
  </si>
  <si>
    <t>VJJZJBUCDWKPLC-UHFFFAOYSA-N</t>
  </si>
  <si>
    <t>WEPBGSIAWZTEJR-UHFFFAOYSA-N</t>
  </si>
  <si>
    <t>LKOJGSWUMISDOF-UHFFFAOYSA-N</t>
  </si>
  <si>
    <t>IHFBPDAQLQOCBX-UHFFFAOYSA-N</t>
  </si>
  <si>
    <t>OGQSUSFDBWGFFJ-UHFFFAOYSA-N</t>
  </si>
  <si>
    <t>IHLSBQVBFDTNTC-UHFFFAOYSA-N</t>
  </si>
  <si>
    <t>CILMBWBPHLLNEH-UHFFFAOYSA-N</t>
  </si>
  <si>
    <t>CQLRUIIRRZYHHS-LFXZADKFSA-N</t>
  </si>
  <si>
    <t>IZQSVPBOUDKVDZ-UHFFFAOYSA-N</t>
  </si>
  <si>
    <t>AZFYHRHUTXBGJS-UHFFFAOYSA-N</t>
  </si>
  <si>
    <t>LHHKQWQTBCTDQM-UHFFFAOYSA-N</t>
  </si>
  <si>
    <t>FPIOBTBNRZPWJW-UHFFFAOYSA-N</t>
  </si>
  <si>
    <t>3'-hydroxy,4'-methoxyisoflavonoids</t>
  </si>
  <si>
    <t>SAMBWAJRKKEEOR-UHFFFAOYSA-N</t>
  </si>
  <si>
    <t>FXNFHKRTJBSTCS-UHFFFAOYSA-N</t>
  </si>
  <si>
    <t>RTIXKCRFFJGDFG-UHFFFAOYSA-N</t>
  </si>
  <si>
    <t>DVGGLGXQSFURLP-VWMSDXGPSA-N</t>
  </si>
  <si>
    <t>Flavonoid 3-O-p-coumaroyl glycosides</t>
  </si>
  <si>
    <t>DYARIVMCYYQNNQ-UHFFFAOYSA-N</t>
  </si>
  <si>
    <t>YXOLAZRVSSWPPT-UHFFFAOYSA-N</t>
  </si>
  <si>
    <t>KZNIFHPLKGYRTM-UHFFFAOYSA-N</t>
  </si>
  <si>
    <t>URFCJEUYXNAHFI-ZDUSSCGKSA-N</t>
  </si>
  <si>
    <t>FTVWIRXFELQLPI-ZDUSSCGKSA-N</t>
  </si>
  <si>
    <t>NTDLXWMIWOECHG-YRCFQSNFSA-N</t>
  </si>
  <si>
    <t>UXCXDWDJBSJZOU-CKPDRDNLSA-N</t>
  </si>
  <si>
    <t>UIDGLYUNOUKLBM-GEBJFKNCSA-N</t>
  </si>
  <si>
    <t>IKGXIBQEEMLURG-NVPNHPEKSA-N</t>
  </si>
  <si>
    <t>PGHSKTKIQIBATG-ZAAWVBGYSA-N</t>
  </si>
  <si>
    <t>SCZVLDHREVKTSH-UHFFFAOYSA-N</t>
  </si>
  <si>
    <t>GLAAQZFBFGEBPS-UHFFFAOYSA-N</t>
  </si>
  <si>
    <t>YSXFFLGRZJWNFM-UHFFFAOYSA-N</t>
  </si>
  <si>
    <t>HCUJALATJBVZAM-UHFFFAOYSA-N</t>
  </si>
  <si>
    <t>UWQJWDYDYIJWKY-UHFFFAOYSA-N</t>
  </si>
  <si>
    <t>QHYWQIVTVQAKQF-UHFFFAOYSA-N</t>
  </si>
  <si>
    <t>PLAPMLGJVGLZOV-VPRICQMDSA-N</t>
  </si>
  <si>
    <t>IYRMWMYZSQPJKC-UHFFFAOYSA-N</t>
  </si>
  <si>
    <t>IQPNAANSBPBGFQ-UHFFFAOYSA-N</t>
  </si>
  <si>
    <t>XHEFDIBZLJXQHF-UHFFFAOYSA-N</t>
  </si>
  <si>
    <t>OVSQVDMCBVZWGM-DTGCRPNFSA-N</t>
  </si>
  <si>
    <t>BDCDNTVZSILEOY-UXYNSRGZSA-N</t>
  </si>
  <si>
    <t>MSLBFGWANLXSOK-UHFFFAOYSA-N</t>
  </si>
  <si>
    <t>QPOCKDYYXFOBCM-UHFFFAOYSA-N</t>
  </si>
  <si>
    <t>HFDPLPWGKGPTJB-LSDHHAIUSA-N</t>
  </si>
  <si>
    <t>GFZSBWIGTNTNKS-UHFFFAOYSA-N</t>
  </si>
  <si>
    <t>KPKDFSLIRPVPJF-YDOQJWOYSA-N</t>
  </si>
  <si>
    <t>DSAJORLEPQBKDA-AWEZNQCLSA-N</t>
  </si>
  <si>
    <t>IKMDFBPHZNJCSN-UHFFFAOYSA-N</t>
  </si>
  <si>
    <t>FTVWIRXFELQLPI-UHFFFAOYSA-N</t>
  </si>
  <si>
    <t>JODRRPJMQDFCBJ-UHFFFAOYSA-N</t>
  </si>
  <si>
    <t>ZEYHEAKUIGZSGI-UHFFFAOYSA-M</t>
  </si>
  <si>
    <t>WKOLLVMJNQIZCI-UHFFFAOYSA-N</t>
  </si>
  <si>
    <t>LBKFGYZQBSGRHY-UHFFFAOYSA-N</t>
  </si>
  <si>
    <t>LNTHITQWFMADLM-UHFFFAOYSA-N</t>
  </si>
  <si>
    <t>Gallic acids</t>
  </si>
  <si>
    <t>IBHWREHFNDMRPR-UHFFFAOYSA-N</t>
  </si>
  <si>
    <t>DOUMFZQKYFQNTF-WUTVXBCWSA-N</t>
  </si>
  <si>
    <t>INBPQAJYHSJVRY-ZDUSSCGKSA-N</t>
  </si>
  <si>
    <t>QJSQOGJCHBXLAH-UHFFFAOYSA-N</t>
  </si>
  <si>
    <t>CDAISMWEOUEBRE-UHFFFAOYSA-N</t>
  </si>
  <si>
    <t>IAYVKGXLPAEGDI-UHFFFAOYSA-N</t>
  </si>
  <si>
    <t>7-O-methylated isoflavonoids</t>
  </si>
  <si>
    <t>YRFDJOAWSXSLMG-UHFFFAOYSA-N</t>
  </si>
  <si>
    <t>Furanoisoflavonoids</t>
  </si>
  <si>
    <t>Pterocarpans</t>
  </si>
  <si>
    <t>LNIQZRIHAMVRJA-UHFFFAOYSA-N</t>
  </si>
  <si>
    <t>7-O-methylisoflavones</t>
  </si>
  <si>
    <t>VPGIGLKLCFOWDN-YOEHRIQHSA-N</t>
  </si>
  <si>
    <t>NSRJSISNDPOJOP-BBRMVZONSA-N</t>
  </si>
  <si>
    <t>WUADCCWRTIWANL-UHFFFAOYSA-N</t>
  </si>
  <si>
    <t>4'-O-methylisoflavones</t>
  </si>
  <si>
    <t>GCWOYVFHJDNKIN-UHFFFAOYSA-N</t>
  </si>
  <si>
    <t>Isoflavonoid O-glycosides</t>
  </si>
  <si>
    <t>HKQYGTCOTHHOMP-UHFFFAOYSA-N</t>
  </si>
  <si>
    <t>FWAWTPASGRNXTO-UHFFFAOYSA-N</t>
  </si>
  <si>
    <t>XRVFNNUXNVWYTI-UHFFFAOYSA-N</t>
  </si>
  <si>
    <t>CBEPNYOFLRIAGR-LLVKDONJSA-N</t>
  </si>
  <si>
    <t>WQCJOKYOIJVEFN-CYBMUJFWSA-N</t>
  </si>
  <si>
    <t>FWAWTPASGRNXTO-LBPRGKRZSA-N</t>
  </si>
  <si>
    <t>FWAWTPASGRNXTO-GFCCVEGCSA-N</t>
  </si>
  <si>
    <t>FFDNYMAHNWBKCH-UHFFFAOYSA-N</t>
  </si>
  <si>
    <t>2'-O-methylated isoflavonoids</t>
  </si>
  <si>
    <t>GQVNHXNTSMARSK-UHFFFAOYSA-N</t>
  </si>
  <si>
    <t>Isoflav-2-enes</t>
  </si>
  <si>
    <t>Isoflavones</t>
  </si>
  <si>
    <t>ZZAJQOPSWWVMBI-UHFFFAOYSA-N</t>
  </si>
  <si>
    <t>ILOKNKKFXJKHMB-UHFFFAOYSA-N</t>
  </si>
  <si>
    <t>ILOKNKKFXJKHMB-GFCCVEGCSA-N</t>
  </si>
  <si>
    <t>AUTZLTCWRDPAPV-UHFFFAOYSA-N</t>
  </si>
  <si>
    <t>Homoisoflavonoids</t>
  </si>
  <si>
    <t>Homoisoflavones</t>
  </si>
  <si>
    <t>ZCOLJUOHXJRHDI-CMWLGVBASA-N</t>
  </si>
  <si>
    <t>ABDKAPXRBAPSQN-UHFFFAOYSA-N</t>
  </si>
  <si>
    <t>OHBQPCCCRFSCAX-UHFFFAOYSA-N</t>
  </si>
  <si>
    <t>NPBVQXIMTZKSBA-UHFFFAOYSA-N</t>
  </si>
  <si>
    <t>ZEYHEAKUIGZSGI-UHFFFAOYSA-N</t>
  </si>
  <si>
    <t>SJSOFNCYXJUNBT-UHFFFAOYSA-N</t>
  </si>
  <si>
    <t>AFDXODALSZRGIH-QPJJXVBHSA-N</t>
  </si>
  <si>
    <t>YTFVRYKNXDADBI-SNAWJCMRSA-N</t>
  </si>
  <si>
    <t>HJBWJAPEBGSQPR-GQCTYLIASA-N</t>
  </si>
  <si>
    <t>FWMPKHMKIJDEMJ-UHFFFAOYSA-N</t>
  </si>
  <si>
    <t>CJJJQWAYMRTLJT-UHFFFAOYSA-N</t>
  </si>
  <si>
    <t>Cinnamylphenols</t>
  </si>
  <si>
    <t>RRAFCDWBNXTKKO-UHFFFAOYSA-N</t>
  </si>
  <si>
    <t>LXBHHIZIQVZGFN-UHFFFAOYSA-N</t>
  </si>
  <si>
    <t>DEUFHLFQPMURDV-UHFFFAOYSA-N</t>
  </si>
  <si>
    <t>Phenylpyruvic acid derivatives</t>
  </si>
  <si>
    <t>FJKROLUGYXJWQN-UHFFFAOYSA-N</t>
  </si>
  <si>
    <t>NGSWKAQJJWESNS-ZZXKWVIFSA-N</t>
  </si>
  <si>
    <t>IJFXRHURBJZNAO-UHFFFAOYSA-N</t>
  </si>
  <si>
    <t>YGSDEFSMJLZEOE-UHFFFAOYSA-N</t>
  </si>
  <si>
    <t>PCMORTLOPMLEFB-ONEGZZNKSA-N</t>
  </si>
  <si>
    <t>AZELSOYQOIUPBZ-UHFFFAOYSA-N</t>
  </si>
  <si>
    <t>Neoflavonoids</t>
  </si>
  <si>
    <t>Neoflavones</t>
  </si>
  <si>
    <t>LXCFILQKKLGQFO-UHFFFAOYSA-N</t>
  </si>
  <si>
    <t>p-Hydroxybenzoic acid esters</t>
  </si>
  <si>
    <t>p-Hydroxybenzoic acid alkyl esters</t>
  </si>
  <si>
    <t>DOIRQSBPFJWKBE-UHFFFAOYSA-N</t>
  </si>
  <si>
    <t>FLKPEMZONWLCSK-UHFFFAOYSA-N</t>
  </si>
  <si>
    <t>MGWAVDBGNNKXQV-UHFFFAOYSA-N</t>
  </si>
  <si>
    <t>IJFPVINAQGWBRJ-UHFFFAOYSA-N</t>
  </si>
  <si>
    <t>MCSINKKTEDDPNK-UHFFFAOYSA-N</t>
  </si>
  <si>
    <t>UOVGCLXUTLXAEC-UHFFFAOYSA-N</t>
  </si>
  <si>
    <t>JAAWOQQDCOFLRV-UHFFFAOYSA-N</t>
  </si>
  <si>
    <t>UOVGCLXUTLXAEC-WFASDCNBSA-N</t>
  </si>
  <si>
    <t>ODMIEGVTNZNSLD-UHFFFAOYSA-N</t>
  </si>
  <si>
    <t>GHMLBKRAJCXXBS-UHFFFAOYSA-N</t>
  </si>
  <si>
    <t>LRBQNJMCXXYXIU-PPKXGCFTSA-N</t>
  </si>
  <si>
    <t>CWVRJTMFETXNAD-JUHZACGLSA-N</t>
  </si>
  <si>
    <t>NDAUXUAQIAJITI-UHFFFAOYSA-N</t>
  </si>
  <si>
    <t>XURFXZGYZJXCEH-VQHVLOKHSA-N</t>
  </si>
  <si>
    <t>RGHHSNMVTDWUBI-UHFFFAOYSA-N</t>
  </si>
  <si>
    <t>QIGBRXMKCJKVMJ-UHFFFAOYSA-N</t>
  </si>
  <si>
    <t>Hydroquinones</t>
  </si>
  <si>
    <t>ZMXJAEGJWHJMGX-UHFFFAOYSA-N</t>
  </si>
  <si>
    <t>RGNXWPVNPFAADO-NSIKDUERSA-N</t>
  </si>
  <si>
    <t>Aurone flavonoids</t>
  </si>
  <si>
    <t>WPYMKLBDIGXBTP-UHFFFAOYSA-N</t>
  </si>
  <si>
    <t>VMAQHGPTQRAREZ-ONNFQVAWSA-N</t>
  </si>
  <si>
    <t>JQOPZEVLBYDIEB-HTQCCNPISA-N</t>
  </si>
  <si>
    <t>XQYZDYMELSJDRZ-UHFFFAOYSA-N</t>
  </si>
  <si>
    <t>Benzylisoquinolines</t>
  </si>
  <si>
    <t>PGLIMMMHQDNVRS-YZQQHVNFSA-N</t>
  </si>
  <si>
    <t>ULPIXLKKVGJPCT-SOFGYWHQSA-N</t>
  </si>
  <si>
    <t>RXGUIWHIADMCFC-UHFFFAOYSA-N</t>
  </si>
  <si>
    <t>SOUKTGNMIRUIQN-NTEUORMPSA-N</t>
  </si>
  <si>
    <t>UIKJRDSCEYGECG-UHFFFAOYSA-N</t>
  </si>
  <si>
    <t>HSRJKNPTNIJEKV-UHFFFAOYSA-N</t>
  </si>
  <si>
    <t>LHGVFZTZFXWLCP-UHFFFAOYSA-N</t>
  </si>
  <si>
    <t>YOMSJEATGXXYPX-UHFFFAOYSA-N</t>
  </si>
  <si>
    <t>VDCDWNDTNSWDFJ-UHFFFAOYSA-N</t>
  </si>
  <si>
    <t>Nitrophenols</t>
  </si>
  <si>
    <t>Dinitrophenols</t>
  </si>
  <si>
    <t>Lignans, neolignans and related compounds</t>
  </si>
  <si>
    <t>DBBCBZIFZYILRL-FNORWQNLSA-N</t>
  </si>
  <si>
    <t>GYFFKZTYYAFCTR-AVXJPILUSA-N</t>
  </si>
  <si>
    <t>CWVRJTMFETXNAD-NXLLHMKUSA-N</t>
  </si>
  <si>
    <t>NGSWKAQJJWESNS-UTCJRWHESA-N</t>
  </si>
  <si>
    <t>KLIDCXVFHGNTTM-UHFFFAOYSA-N</t>
  </si>
  <si>
    <t>INAXVXBDKKUCGI-UHFFFAOYSA-N</t>
  </si>
  <si>
    <t>VFLDPWHFBUODDF-FCXRPNKRSA-N</t>
  </si>
  <si>
    <t>KSEBMYQBYZTDHS-HYXAFXHYSA-N</t>
  </si>
  <si>
    <t>KSEBMYQBYZTDHS-HWKANZROSA-N</t>
  </si>
  <si>
    <t>QURCVMIEKCOAJU-HWKANZROSA-N</t>
  </si>
  <si>
    <t>KMOUJOKENFFTPU-QNDFHXLGSA-N</t>
  </si>
  <si>
    <t>NIMIDMFTGGTHOH-JKSUJKDBSA-N</t>
  </si>
  <si>
    <t>JMFRWRFFLBVWSI-NSCUHMNNSA-N</t>
  </si>
  <si>
    <t>SMQUZDBALVYZAC-UHFFFAOYSA-N</t>
  </si>
  <si>
    <t>BRRSNXCXLSVPFC-UHFFFAOYSA-N</t>
  </si>
  <si>
    <t>OGRAOKJKVGDSFR-UHFFFAOYSA-N</t>
  </si>
  <si>
    <t>Cresols</t>
  </si>
  <si>
    <t>Ortho cresols</t>
  </si>
  <si>
    <t>WYLYBQSHRJMURN-UHFFFAOYSA-N</t>
  </si>
  <si>
    <t>QEQSUVJMTPTKRW-UHFFFAOYSA-N</t>
  </si>
  <si>
    <t>O-methoxybenzoic acids and derivatives</t>
  </si>
  <si>
    <t>PFYHAAAQPNMZHO-UHFFFAOYSA-N</t>
  </si>
  <si>
    <t>XHQZJYCNDZAGLW-UHFFFAOYSA-N</t>
  </si>
  <si>
    <t>LZPNXAULYJPXEH-AATRIKPKSA-N</t>
  </si>
  <si>
    <t>ASHGTJPOSUFTGB-UHFFFAOYSA-N</t>
  </si>
  <si>
    <t>BPRYUXCVCCNUFE-UHFFFAOYSA-N</t>
  </si>
  <si>
    <t>Para cresols</t>
  </si>
  <si>
    <t>MURWRBWZIMXKGC-UHFFFAOYSA-N</t>
  </si>
  <si>
    <t>FUGYGGDSWSUORM-UHFFFAOYSA-N</t>
  </si>
  <si>
    <t>SLLCQEPKLKMZKP-ZDUSSCGKSA-N</t>
  </si>
  <si>
    <t>Diphenylmethanes</t>
  </si>
  <si>
    <t>ZYEMGPIYFIJGTP-UHFFFAOYSA-N</t>
  </si>
  <si>
    <t>BJIOGJUNALELMI-ONEGZZNKSA-N</t>
  </si>
  <si>
    <t>IHRUERBZEZCICE-UHFFFAOYSA-N</t>
  </si>
  <si>
    <t>SSRYGMNKGHCFDE-GNXRPPCSSA-N</t>
  </si>
  <si>
    <t>Triradylcglycerols</t>
  </si>
  <si>
    <t>Triacylglycerols</t>
  </si>
  <si>
    <t>XMIIGOLPHOKFCH-UHFFFAOYSA-N</t>
  </si>
  <si>
    <t>LUKBXSAWLPMMSZ-OWOJBTEDSA-N</t>
  </si>
  <si>
    <t>HXDOZKJGKXYMEW-UHFFFAOYSA-N</t>
  </si>
  <si>
    <t>CHWNEIVBYREQRF-UHFFFAOYSA-N</t>
  </si>
  <si>
    <t>IXQGCWUGDFDQMF-UHFFFAOYSA-N</t>
  </si>
  <si>
    <t>CADPXUBGTFMZAG-UHFFFAOYSA-N</t>
  </si>
  <si>
    <t>ZLUKCCCLNLQLQQ-HLSRHWEPSA-N</t>
  </si>
  <si>
    <t>OCENAHDUYQTWFK-UHFFFAOYSA-N</t>
  </si>
  <si>
    <t>BPLQKQKXWHCZSS-UHFFFAOYSA-N</t>
  </si>
  <si>
    <t>QXNWVJOHUAQHLM-AZUAARDMSA-N</t>
  </si>
  <si>
    <t>IPEHJNRNYPOFII-AZUAARDMSA-N</t>
  </si>
  <si>
    <t>SLUKQUGVTITNSY-UHFFFAOYSA-N</t>
  </si>
  <si>
    <t>ISWSIDIOOBJBQZ-UHFFFAOYSA-N</t>
  </si>
  <si>
    <t>SWUARLUWKZWEBQ-UHFFFAOYSA-N</t>
  </si>
  <si>
    <t>SWUARLUWKZWEBQ-VQHVLOKHSA-N</t>
  </si>
  <si>
    <t>UDEWPOVQBGFNGE-UHFFFAOYSA-N</t>
  </si>
  <si>
    <t>PFTAWBLQPZVEMU-UKRRQHHQSA-N</t>
  </si>
  <si>
    <t>QAIPRVGONGVQAS-DUXPYHPUSA-N</t>
  </si>
  <si>
    <t>JEPSZTLDPWGHPQ-UHFFFAOYSA-N</t>
  </si>
  <si>
    <t>APFXJJMDUXKKAG-GQCTYLIASA-N</t>
  </si>
  <si>
    <t>IWDCLRJOBJJRNH-UHFFFAOYSA-N</t>
  </si>
  <si>
    <t>PBOSTUDLECTMNL-UHFFFAOYSA-N</t>
  </si>
  <si>
    <t>LPEPZZAVFJPLNZ-SFHVURJKSA-N</t>
  </si>
  <si>
    <t>8-prenylated flavans</t>
  </si>
  <si>
    <t>8-prenylated flavanones</t>
  </si>
  <si>
    <t>YHWNASRGLKJRJJ-KRWDZBQOSA-N</t>
  </si>
  <si>
    <t>6-prenylated flavans</t>
  </si>
  <si>
    <t>6-prenylated flavanones</t>
  </si>
  <si>
    <t>XCYSQFHYFNWYFP-CEMXSPGASA-N</t>
  </si>
  <si>
    <t>OXEDXEXEXGPMOG-UHFFFAOYSA-N</t>
  </si>
  <si>
    <t>SWAJPHCXKPCPQZ-UHFFFAOYSA-N</t>
  </si>
  <si>
    <t>XYHWPQUEOOBIOW-UHFFFAOYSA-N</t>
  </si>
  <si>
    <t>DFPMSGMNTNDNHN-ZPHOTFPESA-N</t>
  </si>
  <si>
    <t>MBIJQAHZUBUPNM-VIZOYTHASA-N</t>
  </si>
  <si>
    <t>6-prenylated flavones</t>
  </si>
  <si>
    <t>REFJWTPEDVJJIY-UHFFFAOYSA-N</t>
  </si>
  <si>
    <t>GMGIWEZSKCNYSW-UHFFFAOYSA-N</t>
  </si>
  <si>
    <t>OXGUCUVFOIWWQJ-HQBVPOQASA-N</t>
  </si>
  <si>
    <t>RTATXGUCZHCSNG-QHWHWDPRSA-N</t>
  </si>
  <si>
    <t>MVOUGOXRXQDXDC-RSPRXDBDSA-N</t>
  </si>
  <si>
    <t>VCCRNZQBSJXYJD-UHFFFAOYSA-N</t>
  </si>
  <si>
    <t>SGEWCQFRYRRZDC-VPRICQMDSA-N</t>
  </si>
  <si>
    <t>OVSQVDMCBVZWGM-QSOFNFLRSA-N</t>
  </si>
  <si>
    <t>SDILYIBSLKZODH-UHFFFAOYSA-N</t>
  </si>
  <si>
    <t>YQUVCSBJEUQKSH-UHFFFAOYSA-N</t>
  </si>
  <si>
    <t>JVQIELYQOZIVPK-GQCTYLIASA-N</t>
  </si>
  <si>
    <t>HEFPIIHDRLNTDN-JBFPSKHUSA-N</t>
  </si>
  <si>
    <t>OBGPEBYHGIUFBN-UHFFFAOYSA-N</t>
  </si>
  <si>
    <t>WNHXBLZBOWXNQO-UHFFFAOYSA-N</t>
  </si>
  <si>
    <t>Isoflavans</t>
  </si>
  <si>
    <t>Isoflavanones</t>
  </si>
  <si>
    <t>TZBJGXHYKVUXJN-UHFFFAOYSA-N</t>
  </si>
  <si>
    <t>ZQSIJRDFPHDXIC-UHFFFAOYSA-N</t>
  </si>
  <si>
    <t>LPNBBFKOUUSUDB-UHFFFAOYSA-N</t>
  </si>
  <si>
    <t>FJKROLUGYXJWQN-UHFFFAOYSA-M</t>
  </si>
  <si>
    <t>KVVSCMOUFCNCGX-UHFFFAOYSA-N</t>
  </si>
  <si>
    <t>ISCHCBAXHSLKOZ-XBXARRHUSA-N</t>
  </si>
  <si>
    <t>WBYWAXJHAXSJNI-VOTSOKGWSA-N</t>
  </si>
  <si>
    <t>RGZZCZQQPNJCPO-DHZHZOJOSA-N</t>
  </si>
  <si>
    <t>JDBSEUVQZVQSCN-CTERGKHCSA-N</t>
  </si>
  <si>
    <t>GRZQNEYQRVPNRY-RLFYPJPUSA-N</t>
  </si>
  <si>
    <t>KKSDGJDHHZEWEP-SNAWJCMRSA-N</t>
  </si>
  <si>
    <t>XSXYESVZDBAKKT-UHFFFAOYSA-N</t>
  </si>
  <si>
    <t>Salicylamides</t>
  </si>
  <si>
    <t>QELSKZZBTMNZEB-UHFFFAOYSA-N</t>
  </si>
  <si>
    <t>YCCILVSKPBXVIP-UHFFFAOYSA-N</t>
  </si>
  <si>
    <t>Tyrosols and derivatives</t>
  </si>
  <si>
    <t>Tyrosols</t>
  </si>
  <si>
    <t>BJIVLGIZOMJQRT-UHFFFAOYSA-N</t>
  </si>
  <si>
    <t>OUGNWRCWQLUXHX-SSJBJWSWSA-N</t>
  </si>
  <si>
    <t>RSPQGKRRFSZVPZ-VIFPVBQESA-N</t>
  </si>
  <si>
    <t>GGNQRNBDZQJCCN-UHFFFAOYSA-N</t>
  </si>
  <si>
    <t>Benzenetriols and derivatives</t>
  </si>
  <si>
    <t>Hydroxyquinols and derivatives</t>
  </si>
  <si>
    <t>HEBKCHPVOIAQTA-NGQZWQHPSA-N</t>
  </si>
  <si>
    <t>UNXHWFMMPAWVPI-QWWZWVQMSA-N</t>
  </si>
  <si>
    <t>HCZKYJDFEPMADG-UHFFFAOYSA-N</t>
  </si>
  <si>
    <t>Dibenzylbutane lignans</t>
  </si>
  <si>
    <t>PEDCQBHIVMGVHV-UHFFFAOYSA-N</t>
  </si>
  <si>
    <t>WQGWDDDVZFFDIG-UHFFFAOYSA-N</t>
  </si>
  <si>
    <t>Pyrogallols and derivatives</t>
  </si>
  <si>
    <t>5-unsubstituted pyrrogallols</t>
  </si>
  <si>
    <t>QCDYQQDYXPDABM-UHFFFAOYSA-N</t>
  </si>
  <si>
    <t>Phloroglucinols and derivatives</t>
  </si>
  <si>
    <t>FBPFZTCFMRRESA-JGWLITMVSA-N</t>
  </si>
  <si>
    <t>FBPFZTCFMRRESA-KVTDHHQDSA-N</t>
  </si>
  <si>
    <t>VMYXUZSZMNBRCN-AWEZNQCLSA-N</t>
  </si>
  <si>
    <t>SMWDFEZZVXVKRB-UHFFFAOYSA-N</t>
  </si>
  <si>
    <t>UFCVADNIXDUEFZ-UHFFFAOYSA-N</t>
  </si>
  <si>
    <t>Pentacenequinones</t>
  </si>
  <si>
    <t>HVYWMOMLDIMFJA-FNOPAARDSA-N</t>
  </si>
  <si>
    <t>DUHUCHOQIDJXAT-OLVMNOGESA-N</t>
  </si>
  <si>
    <t>Pregnane steroids</t>
  </si>
  <si>
    <t>Gluco/mineralocorticoids, progestogins and derivatives</t>
  </si>
  <si>
    <t>HVYWMOMLDIMFJA-DPAQBDIFSA-N</t>
  </si>
  <si>
    <t>YABASAWVVRQMEU-YBXTVTTCSA-N</t>
  </si>
  <si>
    <t>CAHGCLMLTWQZNJ-BQNIITSRSA-N</t>
  </si>
  <si>
    <t>ONQRKEUAIJMULO-YBXTVTTCSA-N</t>
  </si>
  <si>
    <t>IXHACUTUTOCSJE-HWTFXIFRSA-N</t>
  </si>
  <si>
    <t>SGNBVLSWZMBQTH-PODYLUTMSA-N</t>
  </si>
  <si>
    <t>Ergostane steroids</t>
  </si>
  <si>
    <t>Ergosterols and derivatives</t>
  </si>
  <si>
    <t>AFGDPPHTYUQKOF-QAGGRKNESA-N</t>
  </si>
  <si>
    <t>Androstane steroids</t>
  </si>
  <si>
    <t>PHMHDRYYFAYWEG-NSCUHMNNSA-N</t>
  </si>
  <si>
    <t>UAJRSHJHFRVGMG-UHFFFAOYSA-N</t>
  </si>
  <si>
    <t>LEVWYRKDKASIDU-WUCPZUCCSA-N</t>
  </si>
  <si>
    <t>GNLLTRIMWRZWBF-UHFFFAOYSA-N</t>
  </si>
  <si>
    <t>POIARNZEYGURDG-FNORWQNLSA-N</t>
  </si>
  <si>
    <t>BWHOZHOGCMHOBV-BQYQJAHWSA-N</t>
  </si>
  <si>
    <t>DTGKSKDOIYIVQL-UHFFFAOYSA-N</t>
  </si>
  <si>
    <t>DSSYKIVIOFKYAU-UHFFFAOYSA-N</t>
  </si>
  <si>
    <t>CFXJOMGPUADAJE-UHFFFAOYSA-N</t>
  </si>
  <si>
    <t>DTGKSKDOIYIVQL-NRPADANISA-N</t>
  </si>
  <si>
    <t>DTGKSKDOIYIVQL-NQMVMOMDSA-N</t>
  </si>
  <si>
    <t>KGEKLUUHTZCSIP-SQLBVSGCSA-N</t>
  </si>
  <si>
    <t>KGEKLUUHTZCSIP-CKYFFXLPSA-N</t>
  </si>
  <si>
    <t>KGEKLUUHTZCSIP-HOSYDEDBSA-N</t>
  </si>
  <si>
    <t>KGEKLUUHTZCSIP-RTYFJBAXSA-N</t>
  </si>
  <si>
    <t>KGEKLUUHTZCSIP-WFCWDVHWSA-N</t>
  </si>
  <si>
    <t>KGEKLUUHTZCSIP-SCVCMEIPSA-N</t>
  </si>
  <si>
    <t>KGEKLUUHTZCSIP-YZRBJQDESA-N</t>
  </si>
  <si>
    <t>YOQFOABVDRBYCG-UHFFFAOYSA-N</t>
  </si>
  <si>
    <t>ULDHMXUKGWMISQ-UHFFFAOYSA-N</t>
  </si>
  <si>
    <t>ZYPYEBYNXWUCEA-UHFFFAOYSA-N</t>
  </si>
  <si>
    <t>WMOPMQRJLLIEJV-DOMZBBRYSA-N</t>
  </si>
  <si>
    <t>WMOPMQRJLLIEJV-IUODEOHRSA-N</t>
  </si>
  <si>
    <t>PSQYTAPXSHCGMF-BQYQJAHWSA-N</t>
  </si>
  <si>
    <t>ONVABDHFQKWOSV-UHFFFAOYSA-N</t>
  </si>
  <si>
    <t>Kaurane diterpenoids</t>
  </si>
  <si>
    <t>NJLNIOKPXKKALD-UHFFFAOYSA-N</t>
  </si>
  <si>
    <t>MKPMHJQMNACGDI-UHFFFAOYSA-N</t>
  </si>
  <si>
    <t>CLFDIFDNDWRHJF-UHFFFAOYSA-N</t>
  </si>
  <si>
    <t>RUMOYJJNUMEFDD-SNVBAGLBSA-N</t>
  </si>
  <si>
    <t>HNZUNIKWNYHEJJ-FMIVXFBMSA-N</t>
  </si>
  <si>
    <t>UMRPOGLIBDXFNK-UHFFFAOYSA-N</t>
  </si>
  <si>
    <t>BFCBRSFYYLSTAA-UHFFFAOYSA-N</t>
  </si>
  <si>
    <t>BAVONGHXFVOKBV-ZJUUUORDSA-N</t>
  </si>
  <si>
    <t>YSTPAHQEHQSRJD-UHFFFAOYSA-N</t>
  </si>
  <si>
    <t>HKZQJZIFODOLFR-UHFFFAOYSA-N</t>
  </si>
  <si>
    <t>WEEGYLXZBRQIMU-UHFFFAOYSA-N</t>
  </si>
  <si>
    <t>TZDMGBLPGZXHJI-UHFFFAOYSA-N</t>
  </si>
  <si>
    <t>MKPMHJQMNACGDI-UWVGGRQHSA-N</t>
  </si>
  <si>
    <t>MQYXUWHLBZFQQO-UHFFFAOYSA-N</t>
  </si>
  <si>
    <t>FVWJYYTZTCVBKE-ROUWMTJPSA-N</t>
  </si>
  <si>
    <t>MQYXUWHLBZFQQO-QGTGJCAVSA-N</t>
  </si>
  <si>
    <t>LCYXQUJDODZYIJ-UHFFFAOYSA-N</t>
  </si>
  <si>
    <t>UWHRPSXEBAXLDR-UHFFFAOYSA-N</t>
  </si>
  <si>
    <t>USMNOWBWPHYOEA-XKSSXDPKSA-N</t>
  </si>
  <si>
    <t>USMNOWBWPHYOEA-OYNCUSHFSA-N</t>
  </si>
  <si>
    <t>USMNOWBWPHYOEA-MRTMQBJTSA-N</t>
  </si>
  <si>
    <t>YAPXSYXFLHDPCK-MXUGJEEPSA-N</t>
  </si>
  <si>
    <t>BOTWFXYSPFMFNR-UHFFFAOYSA-N</t>
  </si>
  <si>
    <t>BOTWFXYSPFMFNR-HKWRFOASSA-N</t>
  </si>
  <si>
    <t>RSWGJHLUYNHPMX-ONCXSQPRSA-N</t>
  </si>
  <si>
    <t>QUUCYKKMFLJLFS-AZUAARDMSA-N</t>
  </si>
  <si>
    <t>NFWKVWVWBFBAOV-MISYRCLQSA-N</t>
  </si>
  <si>
    <t>ZRVDANDJSTYELM-FXAWDEMLSA-N</t>
  </si>
  <si>
    <t>QBSIRAFQXBAHET-UHFFFAOYSA-N</t>
  </si>
  <si>
    <t>ODFCWXVQZAQDSO-CMKODMSKSA-N</t>
  </si>
  <si>
    <t>YGBZFOQXPOGACY-TZJYRCSTSA-N</t>
  </si>
  <si>
    <t>YGBZFOQXPOGACY-BWPNAZKDSA-N</t>
  </si>
  <si>
    <t>YGBZFOQXPOGACY-CUDHKJQZSA-N</t>
  </si>
  <si>
    <t>DMHADBQKVWXPPM-HPKGDXISSA-N</t>
  </si>
  <si>
    <t>DMHADBQKVWXPPM-QXIQWJTQSA-N</t>
  </si>
  <si>
    <t>DMHADBQKVWXPPM-PDDCSNRZSA-N</t>
  </si>
  <si>
    <t>MJHWZTRFACWHTA-XNTDXEJSSA-N</t>
  </si>
  <si>
    <t>MJHWZTRFACWHTA-AKZLODSSSA-N</t>
  </si>
  <si>
    <t>BOTWFXYSPFMFNR-PYDDKJGSSA-N</t>
  </si>
  <si>
    <t>HPQKNJHVWUWAOR-BWCMQUJESA-N</t>
  </si>
  <si>
    <t>IGGWKHQYMAJOHK-FUODXZFOSA-N</t>
  </si>
  <si>
    <t>Syringic acid</t>
  </si>
  <si>
    <t>2,4-Dimethoxycinnamic acid</t>
  </si>
  <si>
    <t>Benzyl ferulate</t>
  </si>
  <si>
    <t>Dihydrobiochanin A</t>
  </si>
  <si>
    <t>Dihydrokaempferide</t>
  </si>
  <si>
    <t>Alpinetin</t>
  </si>
  <si>
    <t>Pinostrobin</t>
  </si>
  <si>
    <t>Hesperetin</t>
  </si>
  <si>
    <t>Aromadendrin</t>
  </si>
  <si>
    <t>Eriodictyol</t>
  </si>
  <si>
    <t>Hesperidin</t>
  </si>
  <si>
    <t>Liquiritigenin</t>
  </si>
  <si>
    <t>3,5,7-Trimethoxyflavone</t>
  </si>
  <si>
    <t>Pectolinarigenin</t>
  </si>
  <si>
    <t>Acacetin</t>
  </si>
  <si>
    <t>Kaempferide</t>
  </si>
  <si>
    <t>Thevetiaflavone</t>
  </si>
  <si>
    <t>Kumatakenin</t>
  </si>
  <si>
    <t>Rhamnetin</t>
  </si>
  <si>
    <t>Oroxylin A</t>
  </si>
  <si>
    <t>Isorhamnetin</t>
  </si>
  <si>
    <t>Xanthomicrol</t>
  </si>
  <si>
    <t>Baicalein</t>
  </si>
  <si>
    <t>Apiin</t>
  </si>
  <si>
    <t>Tiliroside</t>
  </si>
  <si>
    <t>Morin</t>
  </si>
  <si>
    <t>Apigenin</t>
  </si>
  <si>
    <t>Naringenin</t>
  </si>
  <si>
    <t>6-Methoxyluteolin 7-rhamnoside</t>
  </si>
  <si>
    <t>Rutin</t>
  </si>
  <si>
    <t>Jaceosidin</t>
  </si>
  <si>
    <t>Trihydroxymethoxyflavone</t>
  </si>
  <si>
    <t>Orientin</t>
  </si>
  <si>
    <t>Kaempferol</t>
  </si>
  <si>
    <t>Fisetin</t>
  </si>
  <si>
    <t>Avicularin</t>
  </si>
  <si>
    <t>Myricetin-3-O-rhamnoside</t>
  </si>
  <si>
    <t>Myricetin</t>
  </si>
  <si>
    <t>2-Hydroxy-4-methylbenzaldehyde</t>
  </si>
  <si>
    <t>Vanillic acid</t>
  </si>
  <si>
    <t>Gallic acid</t>
  </si>
  <si>
    <t>2,4,6-Trihydroxybenzoic acid</t>
  </si>
  <si>
    <t>Sideroxylin</t>
  </si>
  <si>
    <t>Inositol</t>
  </si>
  <si>
    <t>Neovestitol</t>
  </si>
  <si>
    <t>Isoformononetin</t>
  </si>
  <si>
    <t>Medicarpin</t>
  </si>
  <si>
    <t>Biochanin A</t>
  </si>
  <si>
    <t>Formononetin</t>
  </si>
  <si>
    <t>Vestitol</t>
  </si>
  <si>
    <t>Isovestitol</t>
  </si>
  <si>
    <t>7-Hydroxy-6-methoxyisoflavone</t>
  </si>
  <si>
    <t>Calycosin</t>
  </si>
  <si>
    <t>Genistin</t>
  </si>
  <si>
    <t>4-Methoxybenzoic acid</t>
  </si>
  <si>
    <t>4-Methoxycinnamic acid</t>
  </si>
  <si>
    <t>3,4,5-Trimethoxycinnamic acid</t>
  </si>
  <si>
    <t>Dimethoxycinnamic acid</t>
  </si>
  <si>
    <t>3-Hydroxybenzoic acid</t>
  </si>
  <si>
    <t>Salicylic acid</t>
  </si>
  <si>
    <t>Sinapic acid</t>
  </si>
  <si>
    <t>Dalbergin</t>
  </si>
  <si>
    <t>Dibutyl phthalate</t>
  </si>
  <si>
    <t>Demethyl medicarpin</t>
  </si>
  <si>
    <t>Chlorogenic acid</t>
  </si>
  <si>
    <t>Salbutamol</t>
  </si>
  <si>
    <t>4-Hydroxybenzaldehyde</t>
  </si>
  <si>
    <t>Sulfuretin</t>
  </si>
  <si>
    <t>Benzoic acid</t>
  </si>
  <si>
    <t>Caffeic acid phenetyl ester</t>
  </si>
  <si>
    <t>2-Methyl-2-butenyl caffeate</t>
  </si>
  <si>
    <t>Isobutyl isobutyrate</t>
  </si>
  <si>
    <t>Geranyl isovalerate</t>
  </si>
  <si>
    <t>Guaifenesin</t>
  </si>
  <si>
    <t>2-Methoxy-4-vinylphenol</t>
  </si>
  <si>
    <t>Curcumin</t>
  </si>
  <si>
    <t>cis-Ferulic acid</t>
  </si>
  <si>
    <t>Ferulic acid</t>
  </si>
  <si>
    <t>Isoferulic acid</t>
  </si>
  <si>
    <t>Salicylaldehyde</t>
  </si>
  <si>
    <t>2,3,4-Trihydroxybenzoic acid</t>
  </si>
  <si>
    <t>2,3,5-Trimethylphenol</t>
  </si>
  <si>
    <t>Benzyl 2-methoxybenzoate</t>
  </si>
  <si>
    <t>2,4,6-Trimethylphenol</t>
  </si>
  <si>
    <t>Resveratrol</t>
  </si>
  <si>
    <t>3-(4-Methoxyphenyl)benzo[f]quinazoline</t>
  </si>
  <si>
    <t>4-Methoxycinnamyl cinnamate</t>
  </si>
  <si>
    <t>2,6-Dihydroxy-4-methoxydihydrochalcone</t>
  </si>
  <si>
    <t>Elemicin</t>
  </si>
  <si>
    <t>Ferruginol</t>
  </si>
  <si>
    <t>Sugiol</t>
  </si>
  <si>
    <t>Caffeic acid</t>
  </si>
  <si>
    <t>2,4,6-Trihydroxychalcone</t>
  </si>
  <si>
    <t>Dodecyl acrylate</t>
  </si>
  <si>
    <t>8-Prenylnaringenin</t>
  </si>
  <si>
    <t>6-Prenylnaringenin</t>
  </si>
  <si>
    <t>6-Hydroxyflavanone</t>
  </si>
  <si>
    <t>Naringin</t>
  </si>
  <si>
    <t>Macarangin</t>
  </si>
  <si>
    <t>Quercetin</t>
  </si>
  <si>
    <t>Violanthin</t>
  </si>
  <si>
    <t>Vitexin</t>
  </si>
  <si>
    <t>3,4-Dihydroxybenzoic acid</t>
  </si>
  <si>
    <t>3,4-Dihydroxy-5-prenylcinnamic acid</t>
  </si>
  <si>
    <t>Capillartemisin A</t>
  </si>
  <si>
    <t>Neobavaisoflavone</t>
  </si>
  <si>
    <t>Dalbergioidin</t>
  </si>
  <si>
    <t>Genistein</t>
  </si>
  <si>
    <t>Cinnamic acid</t>
  </si>
  <si>
    <t>p-Coumaric acid cinnamyl ester</t>
  </si>
  <si>
    <t>Isoaloeresin D</t>
  </si>
  <si>
    <t>Xylitol</t>
  </si>
  <si>
    <t>Glycerol</t>
  </si>
  <si>
    <t>Mannitol</t>
  </si>
  <si>
    <t>Quinoline</t>
  </si>
  <si>
    <t>Alfaxalone</t>
  </si>
  <si>
    <t>Cycloartanol</t>
  </si>
  <si>
    <t>Lanosterol</t>
  </si>
  <si>
    <t>Cycloartenol</t>
  </si>
  <si>
    <t>Androst-5-en-17-one</t>
  </si>
  <si>
    <t>Rhapontigenin</t>
  </si>
  <si>
    <t>Benzylideneacetone</t>
  </si>
  <si>
    <t>Camphor</t>
  </si>
  <si>
    <t>(-)-Bornyl acetate</t>
  </si>
  <si>
    <t>Verbenene</t>
  </si>
  <si>
    <t>Carvone</t>
  </si>
  <si>
    <t>Piperitone</t>
  </si>
  <si>
    <t>Piperitenone</t>
  </si>
  <si>
    <t>Eucalyptol</t>
  </si>
  <si>
    <t>Pinocarvone</t>
  </si>
  <si>
    <t>Betulin</t>
  </si>
  <si>
    <t>Lupeol</t>
  </si>
  <si>
    <t>Abietic acid</t>
  </si>
  <si>
    <t>Dehydroabietic acid</t>
  </si>
  <si>
    <t>Totarol</t>
  </si>
  <si>
    <t>Hinokione</t>
  </si>
  <si>
    <t>Hinokiol</t>
  </si>
  <si>
    <t>Cembrene</t>
  </si>
  <si>
    <t>Agathadiol</t>
  </si>
  <si>
    <t>Phytol</t>
  </si>
  <si>
    <t>Junicedric acid</t>
  </si>
  <si>
    <t>IGGWKHQYMAJOHK-NKBYQBPKSA-N</t>
  </si>
  <si>
    <t>IGGWKHQYMAJOHK-QVHQYWGISA-N</t>
  </si>
  <si>
    <t>IGGWKHQYMAJOHK-HHUCQEJWSA-N</t>
  </si>
  <si>
    <t>CECREIRZLPLYDM-RAUXBKROSA-N</t>
  </si>
  <si>
    <t>XVULBTBTFGYVRC-HHUCQEJWSA-N</t>
  </si>
  <si>
    <t>LMODNMXJBXUOQF-ZRSLWSEBSA-N</t>
  </si>
  <si>
    <t>MHVJRKBZMUDEEV-APQLOABGSA-N</t>
  </si>
  <si>
    <t>BOTWFXYSPFMFNR-HMMYKYKNSA-N</t>
  </si>
  <si>
    <t>GZADVFQEXFHJPC-TVKKTXDRSA-N</t>
  </si>
  <si>
    <t>CVCIGXIQAYQNTE-KQQVVUIOSA-N</t>
  </si>
  <si>
    <t>NFQCORXWZVREFM-JYCBUDTGSA-N</t>
  </si>
  <si>
    <t>KXSDPILWMGFJMM-UHFFFAOYSA-N</t>
  </si>
  <si>
    <t>NDVASEGYNIMXJL-UHFFFAOYSA-N</t>
  </si>
  <si>
    <t>LBVRQJWOZIMWNY-UHFFFAOYSA-N</t>
  </si>
  <si>
    <t>NZERPKAXZIGFLL-UHFFFAOYSA-N</t>
  </si>
  <si>
    <t>USMNOWBWPHYOEA-UHFFFAOYSA-N</t>
  </si>
  <si>
    <t>MQPHVIPKLRXGDJ-UHFFFAOYSA-N</t>
  </si>
  <si>
    <t>LSQXNMXDFRRDSJ-UHFFFAOYSA-N</t>
  </si>
  <si>
    <t>LCYXQUJDODZYIJ-HRDYMLBCSA-N</t>
  </si>
  <si>
    <t>JWQKMEKSFPNAIB-SNVBAGLBSA-N</t>
  </si>
  <si>
    <t>QNGQIURXCUHNAT-UHFFFAOYSA-N</t>
  </si>
  <si>
    <t>MGSRCZKZVOBKFT-UHFFFAOYSA-N</t>
  </si>
  <si>
    <t>RECUKUPTGUEGMW-UHFFFAOYSA-N</t>
  </si>
  <si>
    <t>USMNOWBWPHYOEA-VWHDNNRLSA-N</t>
  </si>
  <si>
    <t>WCEIQUQVIOGRBF-UHFFFAOYSA-N</t>
  </si>
  <si>
    <t>KMRMUZKLFIEVAO-UHFFFAOYSA-N</t>
  </si>
  <si>
    <t>RXBQNMWIQKOSCS-RKDXNWHRSA-N</t>
  </si>
  <si>
    <t>JUWUWIGZUVEFQB-UHFFFAOYSA-N</t>
  </si>
  <si>
    <t>UWKAYLJWKGQEPM-UHFFFAOYSA-N</t>
  </si>
  <si>
    <t>CDOSHBSSFJOMGT-UHFFFAOYSA-N</t>
  </si>
  <si>
    <t>WTEVQBCEXWBHNA-YFHOEESVSA-N</t>
  </si>
  <si>
    <t>AWADGPGGHLGLFD-UVPCWGLASA-N</t>
  </si>
  <si>
    <t>WTEVQBCEXWBHNA-JXMROGBWSA-N</t>
  </si>
  <si>
    <t>CVCIGXIQAYQNTE-BDFHBDCESA-N</t>
  </si>
  <si>
    <t>SYKFHCWMZKYPEA-RFQWPUQQSA-N</t>
  </si>
  <si>
    <t>DTTONLKLWRTCAB-OLPCVCRBSA-N</t>
  </si>
  <si>
    <t>ZJUDTXCEVUJEOX-DTWKUNHWSA-N</t>
  </si>
  <si>
    <t>DTGKSKDOIYIVQL-CCNFQMFXSA-N</t>
  </si>
  <si>
    <t>RXBQNMWIQKOSCS-UHFFFAOYSA-N</t>
  </si>
  <si>
    <t>LCYXQUJDODZYIJ-AMDVSUOASA-N</t>
  </si>
  <si>
    <t>UDYGWSPUYSRWRN-AGLLBGTNSA-N</t>
  </si>
  <si>
    <t>MQPHVIPKLRXGDJ-RNJXMRFFSA-N</t>
  </si>
  <si>
    <t>MQPHVIPKLRXGDJ-PRJMDXOYSA-N</t>
  </si>
  <si>
    <t>USMNOWBWPHYOEA-WEDXCCLWSA-N</t>
  </si>
  <si>
    <t>DTGKSKDOIYIVQL-SHTILUHOSA-N</t>
  </si>
  <si>
    <t>DSSYKIVIOFKYAU-XCBNKYQSSA-N</t>
  </si>
  <si>
    <t>DTGKSKDOIYIVQL-WEDXCCLWSA-N</t>
  </si>
  <si>
    <t>XXZAOMJCZBZKPV-WEDXCCLWSA-N</t>
  </si>
  <si>
    <t>LHXDLQBQYFFVNW-XCBNKYQSSA-N</t>
  </si>
  <si>
    <t>DTGKSKDOIYIVQL-QXFUBDJGSA-N</t>
  </si>
  <si>
    <t>BRHDDEIRQPDPMG-PSASIEDQSA-N</t>
  </si>
  <si>
    <t>TZZQZCIACNYHBG-NDVZVQCQSA-N</t>
  </si>
  <si>
    <t>DGBITFNXKQHKLI-LERWJUDQSA-N</t>
  </si>
  <si>
    <t>Trichothecenes</t>
  </si>
  <si>
    <t>DGBITFNXKQHKLI-SFECMWDFSA-N</t>
  </si>
  <si>
    <t>VOBBUADSYROGAT-FQKPHLNHSA-N</t>
  </si>
  <si>
    <t>JBOONPKUPONSIB-KCQAQPDRSA-N</t>
  </si>
  <si>
    <t>YIRAHEODBQONHI-ZQNQSHIBSA-N</t>
  </si>
  <si>
    <t>UPVZPMJSRSWJHQ-XIQJJJERSA-N</t>
  </si>
  <si>
    <t>AYXPYQRXGNDJFU-JDQINNIXSA-N</t>
  </si>
  <si>
    <t>FOBXOZMHEKILEY-UHFFFAOYSA-N</t>
  </si>
  <si>
    <t>RTBLDXVIGWSICW-UHFFFAOYSA-N</t>
  </si>
  <si>
    <t>IRAQOCYXUMOFCW-UHFFFAOYSA-N</t>
  </si>
  <si>
    <t>MVZZUMCHPFHUOS-UHFFFAOYSA-N</t>
  </si>
  <si>
    <t>JGKMDLIITSKWAD-UHFFFAOYSA-N</t>
  </si>
  <si>
    <t>PPTXKCYXNDLKTQ-UHFFFAOYSA-N</t>
  </si>
  <si>
    <t>HETWPUJFGKDFMN-UHFFFAOYSA-N</t>
  </si>
  <si>
    <t>IRAQOCYXUMOFCW-UKTARXLSSA-N</t>
  </si>
  <si>
    <t>DYLPEFGBWGEFBB-OSFYFWSMSA-N</t>
  </si>
  <si>
    <t>IRAQOCYXUMOFCW-YKURLNKLSA-N</t>
  </si>
  <si>
    <t>WNRBYZQFEBIUGD-LSDHHAIUSA-N</t>
  </si>
  <si>
    <t>RGZSQWQPBWRIAQ-UHFFFAOYSA-N</t>
  </si>
  <si>
    <t>RGZSQWQPBWRIAQ-CABCVRRESA-N</t>
  </si>
  <si>
    <t>RGZSQWQPBWRIAQ-LSDHHAIUSA-N</t>
  </si>
  <si>
    <t>RGZSQWQPBWRIAQ-GJZGRUSLSA-N</t>
  </si>
  <si>
    <t>PBMHTGOFWRRJFS-UHFFFAOYSA-N</t>
  </si>
  <si>
    <t>FPRYGNYXOFHMLF-UHFFFAOYSA-N</t>
  </si>
  <si>
    <t>GFJIQNADMLPFOW-VNHYZAJKSA-N</t>
  </si>
  <si>
    <t>VPDZRSSKICPUEY-BFPRWLMKSA-N</t>
  </si>
  <si>
    <t>NPNUFJAVOOONJE-FLFDDASRSA-N</t>
  </si>
  <si>
    <t>ICWHTQRTTHCUHW-GZBFAFLISA-N</t>
  </si>
  <si>
    <t>JUQGWBAOQUBVFP-OPFPJEHXSA-N</t>
  </si>
  <si>
    <t>ITYNGVSTWVVPIC-NDKCEZKHSA-N</t>
  </si>
  <si>
    <t>TWVJWDMOZJXUID-SDDRHHMPSA-N</t>
  </si>
  <si>
    <t>AYXPYQRXGNDJFU-AQEIEYEASA-N</t>
  </si>
  <si>
    <t>RNDFUOKDULDZPR-WLDKUNSKSA-N</t>
  </si>
  <si>
    <t>LMCRYOCEDDKMQA-RIENIYILSA-N</t>
  </si>
  <si>
    <t>DGBITFNXKQHKLI-LCTKYAGXSA-N</t>
  </si>
  <si>
    <t>DGBITFNXKQHKLI-IGAMYEMLSA-N</t>
  </si>
  <si>
    <t>AYXPYQRXGNDJFU-IFROYYDGSA-N</t>
  </si>
  <si>
    <t>ICWHTQRTTHCUHW-NFAWXSAZSA-N</t>
  </si>
  <si>
    <t>ICWHTQRTTHCUHW-IPYPFGDCSA-N</t>
  </si>
  <si>
    <t>AYXPYQRXGNDJFU-AOWZIMASSA-N</t>
  </si>
  <si>
    <t>AYXPYQRXGNDJFU-IMNVLQEYSA-N</t>
  </si>
  <si>
    <t>COGPRPSWSKLKTF-QPSCCSFWSA-N</t>
  </si>
  <si>
    <t>COGPRPSWSKLKTF-CBBWQLFWSA-N</t>
  </si>
  <si>
    <t>MYLXGCVCCZCOHU-LXTVHRRPSA-N</t>
  </si>
  <si>
    <t>PLQMEXSCSAIXGB-SAXRGWBVSA-N</t>
  </si>
  <si>
    <t>AYXPYQRXGNDJFU-FEPPMDFBSA-N</t>
  </si>
  <si>
    <t>AYXPYQRXGNDJFU-QTPLKFIXSA-N</t>
  </si>
  <si>
    <t>AYXPYQRXGNDJFU-RWXDJMAFSA-N</t>
  </si>
  <si>
    <t>SPCXZDDGSGTVAW-XIDUGBJDSA-N</t>
  </si>
  <si>
    <t>FUZABTYGEVJEPT-HTUGSXCWSA-N</t>
  </si>
  <si>
    <t>SVURIXNDRWRAFU-OGMFBOKVSA-N</t>
  </si>
  <si>
    <t>SVURIXNDRWRAFU-MIBAYGRRSA-N</t>
  </si>
  <si>
    <t>XJHDMGJURBVLLE-FMBSFYNOSA-N</t>
  </si>
  <si>
    <t>Terpene lactones</t>
  </si>
  <si>
    <t>Sesquiterpene lactones</t>
  </si>
  <si>
    <t>Eudesmanolides, secoeudesmanolides, and derivatives</t>
  </si>
  <si>
    <t>MKZIRHIVARSBHI-AEGPPILISA-N</t>
  </si>
  <si>
    <t>KHGAHZYLXXABTK-BZPMIXESSA-N</t>
  </si>
  <si>
    <t>Organic oxides</t>
  </si>
  <si>
    <t>FRMCCTDTYSRUBE-BGPZULBFSA-N</t>
  </si>
  <si>
    <t>PDSNLYSELAIEBU-NSOJWWLLSA-N</t>
  </si>
  <si>
    <t>PDSNLYSELAIEBU-GUIRCDHDSA-N</t>
  </si>
  <si>
    <t>MKZIRHIVARSBHI-CFVMTHIKSA-N</t>
  </si>
  <si>
    <t>LKKDASYGWYYFIK-QHSBEEBCSA-N</t>
  </si>
  <si>
    <t>FRMCCTDTYSRUBE-HYFYGGESSA-N</t>
  </si>
  <si>
    <t>YOVSPTNQHMDJAG-QLFBSQMISA-N</t>
  </si>
  <si>
    <t>QMVPMAAFGQKVCJ-UHFFFAOYSA-N</t>
  </si>
  <si>
    <t>PQNTWKDHNSWVPU-UHFFFAOYSA-N</t>
  </si>
  <si>
    <t>YWPLTMNXKKXXII-ZBKNUEDVSA-N</t>
  </si>
  <si>
    <t>DIFWJJFSELKWGA-UHFFFAOYSA-N</t>
  </si>
  <si>
    <t>FCQSIIVNJCMJLB-UHFFFAOYSA-N</t>
  </si>
  <si>
    <t>WZAMDSBJONFHAO-WJQSYXMBSA-N</t>
  </si>
  <si>
    <t>NJICGAVMYWKCMW-GWJXCKMPSA-N</t>
  </si>
  <si>
    <t>NLHQJXWYMZLQJY-TXNIMPHESA-N</t>
  </si>
  <si>
    <t>SLJTWDNVZKIDAU-SVAFSPIFSA-N</t>
  </si>
  <si>
    <t>GRBHNQFQFHLCHO-BHMAJAPKSA-N</t>
  </si>
  <si>
    <t>ODSSDTBFHAYYMD-YOJQYFTNSA-N</t>
  </si>
  <si>
    <t>XWMMEBCFHUKHEX-ZJJHUPNDSA-N</t>
  </si>
  <si>
    <t>VEPCBVRKVVOSDM-KCHVJCDVSA-N</t>
  </si>
  <si>
    <t>QWFPQDGDUOGOJF-SPFFTVLFSA-N</t>
  </si>
  <si>
    <t>MZPNVEOVZSHYMZ-NTXGJNAHSA-N</t>
  </si>
  <si>
    <t>CYHOTEDWAOHQLA-AKGXXHIGSA-N</t>
  </si>
  <si>
    <t>CYHOTEDWAOHQLA-HCJSCJCOSA-N</t>
  </si>
  <si>
    <t>KDCSSVADTHDYGI-GOEVOFJGSA-N</t>
  </si>
  <si>
    <t>WCGUUGGRBIKTOS-GPOJBZKASA-N</t>
  </si>
  <si>
    <t>FSLPMRQHCOLESF-SFMCKYFRSA-N</t>
  </si>
  <si>
    <t>MDZKJHQSJHYOHJ-LLICELPBSA-N</t>
  </si>
  <si>
    <t>LIIFBMGUDSHTOU-GCNWHLNUSA-N</t>
  </si>
  <si>
    <t>JFSHUTJDVKUMTJ-QKAPCWNWSA-N</t>
  </si>
  <si>
    <t>JFSHUTJDVKUMTJ-QHPUVITPSA-N</t>
  </si>
  <si>
    <t>QMUXVPRGNJLGRT-PNTWTTAKSA-N</t>
  </si>
  <si>
    <t>UMYJVVZWBKIXQQ-QALSDZMNSA-N</t>
  </si>
  <si>
    <t>BHVMSBIGWPPGBF-LHAYROSJSA-N</t>
  </si>
  <si>
    <t>MIJYXULNPSFWEK-GTOFXWBISA-N</t>
  </si>
  <si>
    <t>XBZYWSMVVKYHQN-MYPRUECHSA-N</t>
  </si>
  <si>
    <t>DCSCXTJOXBUFGB-SFYZADRCSA-N</t>
  </si>
  <si>
    <t>ZKUFWHYBAKVWMB-SOFGYWHQSA-N</t>
  </si>
  <si>
    <t>BNKGDEQDLRZJFW-GFCCVEGCSA-N</t>
  </si>
  <si>
    <t>TZZQZCIACNYHBG-QNEJGDQOSA-N</t>
  </si>
  <si>
    <t>YNTCMLJZUYNFOH-UHFFFAOYSA-N</t>
  </si>
  <si>
    <t>GDBRLJQTLSLZLH-UHFFFAOYSA-N</t>
  </si>
  <si>
    <t>Phenanthrenes and derivatives</t>
  </si>
  <si>
    <t>LDBPIZIYTBIRPM-VQHVLOKHSA-N</t>
  </si>
  <si>
    <t>Pimaric acid</t>
  </si>
  <si>
    <t>Hyperibone H</t>
  </si>
  <si>
    <t>Oblongifolin B</t>
  </si>
  <si>
    <t>Guttiferone C</t>
  </si>
  <si>
    <t>Sabinene</t>
  </si>
  <si>
    <t>Eucarvone</t>
  </si>
  <si>
    <t>Thymol</t>
  </si>
  <si>
    <t>Carvacrol</t>
  </si>
  <si>
    <t>Myrtenal</t>
  </si>
  <si>
    <t>Fenchyl acetate</t>
  </si>
  <si>
    <t>Linalyl acetate</t>
  </si>
  <si>
    <t>Linalool</t>
  </si>
  <si>
    <t>Neral</t>
  </si>
  <si>
    <t>Guttiferone B</t>
  </si>
  <si>
    <t>Oblongifolin A</t>
  </si>
  <si>
    <t>Guttiferone E</t>
  </si>
  <si>
    <t>a-Pinene</t>
  </si>
  <si>
    <t>Myrtenol</t>
  </si>
  <si>
    <t>Baccharin</t>
  </si>
  <si>
    <t>Salvial-4(14)-en-1-one</t>
  </si>
  <si>
    <t>Ledol</t>
  </si>
  <si>
    <t>Aristolene</t>
  </si>
  <si>
    <t>Cyperene</t>
  </si>
  <si>
    <t>Cryptomeridiol</t>
  </si>
  <si>
    <t>Italicene ether</t>
  </si>
  <si>
    <t>Bisabolol</t>
  </si>
  <si>
    <t>Isospathulenol</t>
  </si>
  <si>
    <t>Cadina-1,4-diene</t>
  </si>
  <si>
    <t>trans-Muurola-4(14),5-diene</t>
  </si>
  <si>
    <t>Hanamyol</t>
  </si>
  <si>
    <t>epi-Cubebol</t>
  </si>
  <si>
    <t>Agarospirol</t>
  </si>
  <si>
    <t>Viridiflorol</t>
  </si>
  <si>
    <t>Gleenol</t>
  </si>
  <si>
    <t>Artemisinic acid</t>
  </si>
  <si>
    <t>Epiglobulol</t>
  </si>
  <si>
    <t>Spathulenol</t>
  </si>
  <si>
    <t>Ambolic acid</t>
  </si>
  <si>
    <t>Dammaradienol</t>
  </si>
  <si>
    <t>Dipterocarpol</t>
  </si>
  <si>
    <t>Lupenone</t>
  </si>
  <si>
    <t>Lupeol acetate</t>
  </si>
  <si>
    <t>Taraxasterol</t>
  </si>
  <si>
    <t>27-Hydroxymangiferonic acid</t>
  </si>
  <si>
    <t>Mangiferonic acid</t>
  </si>
  <si>
    <t>Isomangiferolic acid</t>
  </si>
  <si>
    <t>Mangiferolic acid</t>
  </si>
  <si>
    <t>Ursolic acid</t>
  </si>
  <si>
    <t>Olean-12-en-3-one</t>
  </si>
  <si>
    <t>Oleanolic acid</t>
  </si>
  <si>
    <t>Viscidone</t>
  </si>
  <si>
    <t>3-Phenylbicyclo(3.2.2)nona-3,6-dien-2-one</t>
  </si>
  <si>
    <t>Benzo[b]phenanthro[2,3-d]thiophene</t>
  </si>
  <si>
    <t>Number of compounds</t>
  </si>
  <si>
    <t>Unique Superclasses</t>
  </si>
  <si>
    <t>Unique Classes</t>
  </si>
  <si>
    <t>Unique Subclasses</t>
  </si>
  <si>
    <t>cfb.fiehnlab.ucdavis.edu</t>
  </si>
  <si>
    <t>Propolis derived compounds with unique compounds identification numbers*</t>
  </si>
  <si>
    <t>*Tools used to retrieve informations:</t>
  </si>
  <si>
    <t>Djoumbou Feunang Y, Eisner R, Knox C, et al. ClassyFire: automated chemical classification with a comprehensive, computable taxonomy. J Cheminform. 2016;8:61. Published 2016 Nov 4. doi:10.1186/s13321-016-0174-y</t>
  </si>
  <si>
    <t>Kim S, Chen J, Cheng T, et al. PubChem 2023 update. Nucleic Acids Res. 2023;51(D1):D1373-D1380. doi:10.1093/nar/gkac956</t>
  </si>
  <si>
    <t>TOTAL</t>
  </si>
  <si>
    <t>YGBZFOQXPOGACY-UHFFFAOYSA-N</t>
  </si>
  <si>
    <t>CKDYDMSDCNQHEB-JKSUJKDBSA-N</t>
  </si>
  <si>
    <t>FBWPWWWZWKPJFL-UHFFFAOYSA-N</t>
  </si>
  <si>
    <t>JAAWOQQDCOFLRV-IAQYHMDHSA-N</t>
  </si>
  <si>
    <t>XMRKUJJDDKYUHV-SDFJSLCBSA-N</t>
  </si>
  <si>
    <t>XMRKUJJDDKYUHV-DFSVIBJJSA-N</t>
  </si>
  <si>
    <t>YAAIPCQYJYPITK-NCXUSEDFSA-N</t>
  </si>
  <si>
    <t>QULYEQNVFMJNLT-ARFHVFGLSA-N</t>
  </si>
  <si>
    <t>RGHNJXZEOKUKBD-KLVWXMOXSA-N</t>
  </si>
  <si>
    <t>AFGDPPHTYUQKOF-UHFFFAOYSA-N</t>
  </si>
  <si>
    <t>HSNZZMHEPUFJNZ-UHFFFAOYSA-N</t>
  </si>
  <si>
    <t>HJBWJAPEBGSQPR-XQRVVYSFSA-N</t>
  </si>
  <si>
    <t>OHEYCHKLBCPRLZ-VBQORRLJSA-N</t>
  </si>
  <si>
    <t>COGPRPSWSKLKTF-GBJTYRQASA-N</t>
  </si>
  <si>
    <t>UOXVFQCRPDLSFN-UHFFFAOYSA-N</t>
  </si>
  <si>
    <t>QISOBCMNUJQOJU-UHFFFAOYSA-N</t>
  </si>
  <si>
    <t>QBLFZIBJXUQVRF-UHFFFAOYSA-N</t>
  </si>
  <si>
    <t>HJBWJAPEBGSQPR-UHFFFAOYSA-N</t>
  </si>
  <si>
    <t>LGOFSGDSFQNIAT-SCRDCRAPSA-N</t>
  </si>
  <si>
    <t>LGOFSGDSFQNIAT-SGMGOOAPSA-N</t>
  </si>
  <si>
    <t>JELGPLUONQGOHF-MDZDMXLPSA-N</t>
  </si>
  <si>
    <t>DMHADBQKVWXPPM-GMVDCNKVSA-N</t>
  </si>
  <si>
    <t>AEMOLEFTQBMNLQ-YMDCURPLSA-N</t>
  </si>
  <si>
    <t>ZKCJJGOOPOIZTE-UHFFFAOYSA-N</t>
  </si>
  <si>
    <t>NBIIXXVUZAFLBC-UHFFFAOYSA-K</t>
  </si>
  <si>
    <t>AEMOLEFTQBMNLQ-AQKNRBDQSA-N</t>
  </si>
  <si>
    <t>GUBGYTABKSRVRQ-KEUNEUHJSA-N</t>
  </si>
  <si>
    <t>FMEHGPQTMOPUGM-UHFFFAOYSA-N</t>
  </si>
  <si>
    <t>FLRAKBZPZXCSQN-PWHKKFIBSA-N</t>
  </si>
  <si>
    <t>GJYMQFMQRRNLCY-UHFFFAOYSA-N</t>
  </si>
  <si>
    <t>MKZIRHIVARSBHI-VHDGCEQUSA-N</t>
  </si>
  <si>
    <t>NFWKVWVWBFBAOV-RLLQIKCJSA-N</t>
  </si>
  <si>
    <t>YAPXSYXFLHDPCK-RJTGTAKJSA-N</t>
  </si>
  <si>
    <t>YAPXSYXFLHDPCK-KKOIAVJUSA-N</t>
  </si>
  <si>
    <t>QXQAPNSHUJORMC-UHFFFAOYSA-N</t>
  </si>
  <si>
    <t>OCYJXSUPZMNXEN-UHFFFAOYSA-N</t>
  </si>
  <si>
    <t>NMAOJFAMEOVURT-UHFFFAOYSA-N</t>
  </si>
  <si>
    <t>UMTCXZPNTARISG-DUXPYHPUSA-N</t>
  </si>
  <si>
    <t>LXEVSYZNYDZSOB-UHFFFAOYSA-N</t>
  </si>
  <si>
    <t>REVROVKRCYLCAT-UHFFFAOYSA-N</t>
  </si>
  <si>
    <t>CGIBCVBDFUTMPT-UHFFFAOYSA-N</t>
  </si>
  <si>
    <t>GCLAFEGUXXHIFT-IWLDQSELSA-N</t>
  </si>
  <si>
    <t>OYZXFEYPXDHMER-UHFFFAOYSA-N</t>
  </si>
  <si>
    <t>WQAILKGDBWHCDL-UHFFFAOYSA-N</t>
  </si>
  <si>
    <t>JWXYMBDCGNXXRO-UHFFFAOYSA-N</t>
  </si>
  <si>
    <t>ZLFWYIZYFQAOBZ-UHFFFAOYSA-N</t>
  </si>
  <si>
    <t>USVPAMXDEQJWJM-UHFFFAOYSA-N</t>
  </si>
  <si>
    <t>ISSYGWIDLYOJEN-UHFFFAOYSA-N</t>
  </si>
  <si>
    <t>GPAYZXDFRBRXPA-LFIBNONCSA-N</t>
  </si>
  <si>
    <t>ZIOZYRSDNLNNNJ-IBGZPJMESA-N</t>
  </si>
  <si>
    <t>ONIBWKKTOPOVIA-UHFFFAOYSA-N</t>
  </si>
  <si>
    <t>ONIBWKKTOPOVIA-SCSAIBSYSA-N</t>
  </si>
  <si>
    <t>CKLJMWTZIZZHCS-REOHCLBHSA-N</t>
  </si>
  <si>
    <t>QNAYBMKLOCPYGJ-REOHCLBHSA-O</t>
  </si>
  <si>
    <t>RBZUPETUJOEOGI-REOHCLBHSA-N</t>
  </si>
  <si>
    <t>MTCFGRXMJLQNBG-REOHCLBHSA-N</t>
  </si>
  <si>
    <t>RRXGRDMHWYLJSY-UHFFFAOYSA-N</t>
  </si>
  <si>
    <t>BGVBGAIWXAXBLP-UHFFFAOYSA-N</t>
  </si>
  <si>
    <t>GONOPSZTUGRENK-UHFFFAOYSA-N</t>
  </si>
  <si>
    <t>BFNMZJQMWPPBKE-UHFFFAOYSA-N</t>
  </si>
  <si>
    <t>SDOFMBGMRVAJNF-KVTDHHQDSA-N</t>
  </si>
  <si>
    <t>NJICGAVMYWKCMW-SGAOCFLWSA-N</t>
  </si>
  <si>
    <t>KPUDOJPVQQJLGI-CKARLABJSA-N</t>
  </si>
  <si>
    <t>HMJSJJJZMSTJLO-UHFFFAOYSA-N</t>
  </si>
  <si>
    <t>QYCOHMYDSOZCQD-OUKQBFOZSA-N</t>
  </si>
  <si>
    <t>QYCOHMYDSOZCQD-PMTPZQICSA-N</t>
  </si>
  <si>
    <t>GAIBLDCXCZKKJE-NWYXHMAXSA-N</t>
  </si>
  <si>
    <t>CIWBSHSKHKDKBQ-JLAZNSOCSA-N</t>
  </si>
  <si>
    <t>FEWJPZIEWOKRBE-JCYAYHJZSA-N</t>
  </si>
  <si>
    <t>FEWJPZIEWOKRBE-LWMBPPNESA-N</t>
  </si>
  <si>
    <t>ODSSDTBFHAYYMD-KJXGCDIRSA-N</t>
  </si>
  <si>
    <t>DUAYDERMVQWIJD-UHFFFAOYSA-N</t>
  </si>
  <si>
    <t>NGHOLYJTSCBCGC-UHFFFAOYSA-N</t>
  </si>
  <si>
    <t>NGHOLYJTSCBCGC-QXMHVHEDSA-N</t>
  </si>
  <si>
    <t>QOFWRHWADNWKSU-UHFFFAOYSA-N</t>
  </si>
  <si>
    <t>QOFWRHWADNWKSU-POUKDMJSSA-N</t>
  </si>
  <si>
    <t>UFCLZKMFXSILNL-JFZVQIRRSA-N</t>
  </si>
  <si>
    <t>KXSDPILWMGFJMM-GUBZILKMSA-N</t>
  </si>
  <si>
    <t>DJYWGTBEZVORGE-UHFFFAOYSA-N</t>
  </si>
  <si>
    <t>DJYWGTBEZVORGE-CVWWDKSYSA-N</t>
  </si>
  <si>
    <t>VJVMMXUPZGOBSN-CMKODMSKSA-N</t>
  </si>
  <si>
    <t>FARYTWBWLZAXNK-WAYWQWQTSA-N</t>
  </si>
  <si>
    <t>KXIZXPRLNNDQKS-UHFFFAOYSA-N</t>
  </si>
  <si>
    <t>QQCPAAKQPNLZBD-UHFFFAOYSA-N</t>
  </si>
  <si>
    <t>LILYCFQSQPQEPF-UHFFFAOYSA-N</t>
  </si>
  <si>
    <t>MIJYXULNPSFWEK-UHFFFAOYSA-N</t>
  </si>
  <si>
    <t>BOTWFXYSPFMFNR-RTBURBONSA-N</t>
  </si>
  <si>
    <t>PMOWTIHVNWZYFI-UHFFFAOYSA-N</t>
  </si>
  <si>
    <t>GAIBLDCXCZKKJE-NISXABPJSA-N</t>
  </si>
  <si>
    <t>DPQYOKVMVCQHMY-UHFFFAOYSA-N</t>
  </si>
  <si>
    <t>GXEGJTGWYVZSNR-OMQMMEOVSA-N</t>
  </si>
  <si>
    <t>GXEGJTGWYVZSNR-LBJJKJHXSA-N</t>
  </si>
  <si>
    <t>GXEGJTGWYVZSNR-UHFFFAOYSA-N</t>
  </si>
  <si>
    <t>FPRYGNYXOFHMLF-BHPKHCPMSA-N</t>
  </si>
  <si>
    <t>OGCGGWYLHSJRFY-VIFPVBQESA-N</t>
  </si>
  <si>
    <t>ARSRJFRKVXALTF-UHFFFAOYSA-N</t>
  </si>
  <si>
    <t>ZLHVIYHWWQYJID-UHFFFAOYSA-N</t>
  </si>
  <si>
    <t>JLQNHALFVCURHW-UHFFFAOYSA-N</t>
  </si>
  <si>
    <t>XCRZAIPPBHIKOR-UHFFFAOYSA-N</t>
  </si>
  <si>
    <t>NFWKVWVWBFBAOV-IHPCNDPISA-N</t>
  </si>
  <si>
    <t>YOVSPTNQHMDJAG-UHFFFAOYSA-N</t>
  </si>
  <si>
    <t>YOVSPTNQHMDJAG-ZNMIVQPWSA-N</t>
  </si>
  <si>
    <t>YOVSPTNQHMDJAG-RBSFLKMASA-N</t>
  </si>
  <si>
    <t>BZHMBWZPUJHVEE-UHFFFAOYSA-N</t>
  </si>
  <si>
    <t>NSRKLZRKJJQJLD-YESPVIGUSA-N</t>
  </si>
  <si>
    <t>CECREIRZLPLYDM-OQLBXJDTSA-N</t>
  </si>
  <si>
    <t>Triazines</t>
  </si>
  <si>
    <t>Other non-metal organides</t>
  </si>
  <si>
    <t>Halobenzenes</t>
  </si>
  <si>
    <t>Nitrobenzenes</t>
  </si>
  <si>
    <t>Eicosanoids</t>
  </si>
  <si>
    <t>Bipyridines and oligopyridines</t>
  </si>
  <si>
    <t>Aminotriazines</t>
  </si>
  <si>
    <t>Phenethylamines</t>
  </si>
  <si>
    <t>Other non-metal sulfides</t>
  </si>
  <si>
    <t>Pyrazole carboxylic acids and derivatives</t>
  </si>
  <si>
    <t>Bromobenzenes</t>
  </si>
  <si>
    <t>Glucuronic acid derivatives</t>
  </si>
  <si>
    <t>Prostaglandins and related compounds</t>
  </si>
  <si>
    <t>Retro-dihydrochalcones</t>
  </si>
  <si>
    <t>Hydroperoxyeicosatetraenoic acids</t>
  </si>
  <si>
    <t>Aspartic acid and derivatives</t>
  </si>
  <si>
    <t>Serine and derivatives</t>
  </si>
  <si>
    <t>1,3-dicarbonyl compounds</t>
  </si>
  <si>
    <t>Beta-diketones</t>
  </si>
  <si>
    <t>2'-Hydroxy-dihydrochalcones</t>
  </si>
  <si>
    <t>1,3,5-triazine-2,4-diamines</t>
  </si>
  <si>
    <t>Benzoquinones</t>
  </si>
  <si>
    <t>pinobanksin</t>
  </si>
  <si>
    <t>pinocembrin</t>
  </si>
  <si>
    <t>phenylethyl caffeate</t>
  </si>
  <si>
    <t>chrysin</t>
  </si>
  <si>
    <t>galangin</t>
  </si>
  <si>
    <t>pinocembrin 7-methyl ether</t>
  </si>
  <si>
    <t>trans-p-coumaric acid</t>
  </si>
  <si>
    <t>Dodecyl caffeate</t>
  </si>
  <si>
    <t>Hexadecyl caffeate</t>
  </si>
  <si>
    <t>D-glucose</t>
  </si>
  <si>
    <t>Sorbose</t>
  </si>
  <si>
    <t>Fructose</t>
  </si>
  <si>
    <t>3-O-acetylpinobanksin</t>
  </si>
  <si>
    <t>beta-amyrine</t>
  </si>
  <si>
    <t>Glycerol octadecyl ether</t>
  </si>
  <si>
    <t>tectochrysin</t>
  </si>
  <si>
    <t>cupressicacid</t>
  </si>
  <si>
    <t>(e)-caffeate</t>
  </si>
  <si>
    <t>Pentyl caffeate</t>
  </si>
  <si>
    <t>Fructofuranose</t>
  </si>
  <si>
    <t>Tridecanoic acid, methyl ester</t>
  </si>
  <si>
    <t>Decanoic acid, methyl ester</t>
  </si>
  <si>
    <t>Hexadecanoic acid, methyl ester</t>
  </si>
  <si>
    <t>Methyl isoheptadecanoate</t>
  </si>
  <si>
    <t>7,10-Hexadecadienoic acid, methyl ester</t>
  </si>
  <si>
    <t>11-Octadecenoic acid, methyl ester</t>
  </si>
  <si>
    <t>6-Octadecenoic acid, methyl ester</t>
  </si>
  <si>
    <t>Octadecanoic acid, methyl ester</t>
  </si>
  <si>
    <t>Z-10-Pentadecen-1-ol</t>
  </si>
  <si>
    <t>E-9-Tetradecenoic acid</t>
  </si>
  <si>
    <t>Aqua Cera</t>
  </si>
  <si>
    <t>n-Cetane</t>
  </si>
  <si>
    <t>Eicosanoic acid, methyl ester</t>
  </si>
  <si>
    <t>Heneicosanoic acid, methyl ester</t>
  </si>
  <si>
    <t>Docosanoic acid, methyl ester</t>
  </si>
  <si>
    <t>Eicosanoic acid</t>
  </si>
  <si>
    <t>Eicosane</t>
  </si>
  <si>
    <t>Heptacosanoic acid, methyl ester</t>
  </si>
  <si>
    <t>Triacontanoic acid, methyl ester</t>
  </si>
  <si>
    <t>Quercetin-3-o-glucoside</t>
  </si>
  <si>
    <t>Quercetrin</t>
  </si>
  <si>
    <t>Communic acid</t>
  </si>
  <si>
    <t>Sterubin</t>
  </si>
  <si>
    <t>Propanedioic acid</t>
  </si>
  <si>
    <t>Pentadecenoic acid</t>
  </si>
  <si>
    <t>Vanilethanediol</t>
  </si>
  <si>
    <t>Anthraquinone derivative</t>
  </si>
  <si>
    <t>m-Hydroxymandelic acid</t>
  </si>
  <si>
    <t>3,4-Dimethoxy-hydrocinnamic acid</t>
  </si>
  <si>
    <t>astrapterocarpan</t>
  </si>
  <si>
    <t>vesticarpan</t>
  </si>
  <si>
    <t>broussonin B</t>
  </si>
  <si>
    <t>Coumaric acid methyl ester</t>
  </si>
  <si>
    <t>Catechin</t>
  </si>
  <si>
    <t>Tyrosol</t>
  </si>
  <si>
    <t>Hydroxybenzoic acid</t>
  </si>
  <si>
    <t>Dihydroxybenzoic acid</t>
  </si>
  <si>
    <t>2,4-decadienal</t>
  </si>
  <si>
    <t>Germacrene</t>
  </si>
  <si>
    <t>Alpha-cedrol</t>
  </si>
  <si>
    <t>Alpha-Gurjunene</t>
  </si>
  <si>
    <t>Mannose</t>
  </si>
  <si>
    <t>1,2-Benzenedicarboxylic acid, diisooctyl ester</t>
  </si>
  <si>
    <t>Papaverine</t>
  </si>
  <si>
    <t>Talose</t>
  </si>
  <si>
    <t>Morphinan-6-one-2-ol</t>
  </si>
  <si>
    <t>4-(Phenylthioxomethyl)morpholine</t>
  </si>
  <si>
    <t>Hexadecandioic acid</t>
  </si>
  <si>
    <t>1,6-Dihydroxy-8-methoxy-3-methylanthraquinone</t>
  </si>
  <si>
    <t>L-Gluconic acid</t>
  </si>
  <si>
    <t>11-cis-Octadecenoic acid</t>
  </si>
  <si>
    <t>2,4,6-Trichloro-5-nitro-nicotinic acid methyl ester</t>
  </si>
  <si>
    <t>2-p-Tolylisoindole-1,3-dione</t>
  </si>
  <si>
    <t>1-O-hexadecylglycerol</t>
  </si>
  <si>
    <t>L-Proline</t>
  </si>
  <si>
    <t>Hexanedioic acid</t>
  </si>
  <si>
    <t>D-Altro-2-Heptulose</t>
  </si>
  <si>
    <t>6,13-Pentacenedione</t>
  </si>
  <si>
    <t>Isoquinoline, 6,7,8-trimethoxy-</t>
  </si>
  <si>
    <t>Butanoic acid</t>
  </si>
  <si>
    <t>Cinnamic acid, 3,4-dimethoxy-</t>
  </si>
  <si>
    <t>D-Gluconic acid</t>
  </si>
  <si>
    <t>Propanoic acid</t>
  </si>
  <si>
    <t>Benzoic acid, 2-methyl-</t>
  </si>
  <si>
    <t>2,3,4-Trihydroxybutyric acid</t>
  </si>
  <si>
    <t>Lyxose</t>
  </si>
  <si>
    <t>L(-)-Fucose</t>
  </si>
  <si>
    <t>Isoquinoline, 1-butyl-</t>
  </si>
  <si>
    <t>Cinnoline, 4-ethyl-3-methyl-</t>
  </si>
  <si>
    <t>3-Methoxy benzoic acid</t>
  </si>
  <si>
    <t>1-(3H-Imidazol-4-yl)-ethanone</t>
  </si>
  <si>
    <t>Coumarin-3-carboxylic acid, 8-allyl-, Cyclohexyl ester</t>
  </si>
  <si>
    <t>l-Mannopyranose</t>
  </si>
  <si>
    <t>4-Hydroxymandelic acid</t>
  </si>
  <si>
    <t>4-Aminobenzo[g]quinazoline</t>
  </si>
  <si>
    <t>Caffeic acid 4-O-glucoside</t>
  </si>
  <si>
    <t>caffeoylquinic acid</t>
  </si>
  <si>
    <t>Phloretic acid</t>
  </si>
  <si>
    <t>Triterpenoid</t>
  </si>
  <si>
    <t>3-hydroxystearic acid</t>
  </si>
  <si>
    <t>Pentacosene</t>
  </si>
  <si>
    <t>Hexacosene</t>
  </si>
  <si>
    <t>Heptacosene</t>
  </si>
  <si>
    <t>Octacosene</t>
  </si>
  <si>
    <t>Nonacosene</t>
  </si>
  <si>
    <t>Hentriacontene</t>
  </si>
  <si>
    <t>Tritriacontene</t>
  </si>
  <si>
    <t>Pentatriacontene</t>
  </si>
  <si>
    <t>Octadecyl hexadecanoate</t>
  </si>
  <si>
    <t>Eicosyl hexadecanoate</t>
  </si>
  <si>
    <t>Octadecanol</t>
  </si>
  <si>
    <t>Eicosanol</t>
  </si>
  <si>
    <t>Tetracosanol</t>
  </si>
  <si>
    <t>Hexacosanol</t>
  </si>
  <si>
    <t>Octacosanol</t>
  </si>
  <si>
    <t>Triacontanol</t>
  </si>
  <si>
    <t>Methyl octadecenoate</t>
  </si>
  <si>
    <t>Methyl Octacosanoate</t>
  </si>
  <si>
    <t>Methyl Dotriacontanoate</t>
  </si>
  <si>
    <t>a-Amyrone</t>
  </si>
  <si>
    <t>Carvomenthene</t>
  </si>
  <si>
    <t>p-Cymenene</t>
  </si>
  <si>
    <t>Bergamal</t>
  </si>
  <si>
    <t>cis-Linalool oxide</t>
  </si>
  <si>
    <t>cis-p-Mentha-2,8-dien-1-ol</t>
  </si>
  <si>
    <t>p-Cymen-8-ol</t>
  </si>
  <si>
    <t>Geranial</t>
  </si>
  <si>
    <t>9-epi-trans-Caryophyllene</t>
  </si>
  <si>
    <t>Citronellyl pentanoate</t>
  </si>
  <si>
    <t>1-epi-Cubenol</t>
  </si>
  <si>
    <t>E-Anethole</t>
  </si>
  <si>
    <t>trans-Isoeugenol</t>
  </si>
  <si>
    <t>Trans-Methyl isoeugenol</t>
  </si>
  <si>
    <t>6-Methyl-5-hepten-2-ol</t>
  </si>
  <si>
    <t>Benzyl alcohol</t>
  </si>
  <si>
    <t>o-Guaiacol</t>
  </si>
  <si>
    <t>6-Methyl-3,5-heptadiene-2-one</t>
  </si>
  <si>
    <t>Phenyl ethyl alcohol</t>
  </si>
  <si>
    <t>E-Cinnamaldehyde</t>
  </si>
  <si>
    <t>Caproic acid</t>
  </si>
  <si>
    <t>Octanoic acid</t>
  </si>
  <si>
    <t>Pelargonic acid</t>
  </si>
  <si>
    <t>o-Anisic acid methyl ester</t>
  </si>
  <si>
    <t>trans-Methyl cinnamate</t>
  </si>
  <si>
    <t>n-Decanoic acid</t>
  </si>
  <si>
    <t>Butyl caffeate</t>
  </si>
  <si>
    <t>3-Methyl-3-butenyl caffeate</t>
  </si>
  <si>
    <t>Vanillin</t>
  </si>
  <si>
    <t>3,4-dimethoxystyrene</t>
  </si>
  <si>
    <t>alpha-curcumene</t>
  </si>
  <si>
    <t>benzaldehyde</t>
  </si>
  <si>
    <t>guaiol</t>
  </si>
  <si>
    <t>o-xylene</t>
  </si>
  <si>
    <t>3-phenyl-1-propanol</t>
  </si>
  <si>
    <t>delta-cadinene</t>
  </si>
  <si>
    <t>cinnamylalcohol</t>
  </si>
  <si>
    <t>palmiticacid</t>
  </si>
  <si>
    <t>p-xylene</t>
  </si>
  <si>
    <t>octanal</t>
  </si>
  <si>
    <t>decanal</t>
  </si>
  <si>
    <t>nonanal</t>
  </si>
  <si>
    <t>alpha-cedrene</t>
  </si>
  <si>
    <t>fumaricacid</t>
  </si>
  <si>
    <t>pyrogallol</t>
  </si>
  <si>
    <t>ellagicacid</t>
  </si>
  <si>
    <t>rosmarinicacid</t>
  </si>
  <si>
    <t>rutinhydrate</t>
  </si>
  <si>
    <t>luteolin</t>
  </si>
  <si>
    <t>3,4-Dimethoxy-Cinnamic acid</t>
  </si>
  <si>
    <t>d-limonene</t>
  </si>
  <si>
    <t>beta-cedrene</t>
  </si>
  <si>
    <t>alpha-bisabolol</t>
  </si>
  <si>
    <t>gluconolactone</t>
  </si>
  <si>
    <t>drupanin</t>
  </si>
  <si>
    <t>isoferulicacid</t>
  </si>
  <si>
    <t>Dihydroxyflavone</t>
  </si>
  <si>
    <t>Garbanzol</t>
  </si>
  <si>
    <t>Hydroxylinolenic acid</t>
  </si>
  <si>
    <t>daidzein</t>
  </si>
  <si>
    <t>Propolin C</t>
  </si>
  <si>
    <t>3,4-dimethoxy cinnamic acid</t>
  </si>
  <si>
    <t>7-Hydroxycoumarin</t>
  </si>
  <si>
    <t>Glucofuranose</t>
  </si>
  <si>
    <t>5-(Hydroxymethyl)resorcinol</t>
  </si>
  <si>
    <t>Methylindan</t>
  </si>
  <si>
    <t>Pentachlorobenzenamine</t>
  </si>
  <si>
    <t>caffeic acid cinnamyl ester</t>
  </si>
  <si>
    <t>Tannic acid</t>
  </si>
  <si>
    <t>Beta-Eudesmol</t>
  </si>
  <si>
    <t>Elaidic acid ethyl ester</t>
  </si>
  <si>
    <t>Stearic acid ethyl ester</t>
  </si>
  <si>
    <t>9-Hexadecenoic acid ethyl ester</t>
  </si>
  <si>
    <t>Naringenin 7-methyl ether</t>
  </si>
  <si>
    <t>Quercetin-3-methyl ether</t>
  </si>
  <si>
    <t>quercetindihydrate</t>
  </si>
  <si>
    <t>1,2-Benzenedicarboxylic acid, butyl octyl ester</t>
  </si>
  <si>
    <t>Oleic acid amide</t>
  </si>
  <si>
    <t>Dodecanoic acid</t>
  </si>
  <si>
    <t>2-Hydroxy-5-methyl benzaldehyde</t>
  </si>
  <si>
    <t>Ferulic acid methyl ester</t>
  </si>
  <si>
    <t>3-Hydroxy-dodecanoic acid</t>
  </si>
  <si>
    <t>Glycine methyl ester</t>
  </si>
  <si>
    <t>Gentisic acid</t>
  </si>
  <si>
    <t>Ficusin</t>
  </si>
  <si>
    <t>Angecin</t>
  </si>
  <si>
    <t>2,4-Dihydroxy benzaldehyde</t>
  </si>
  <si>
    <t>2-Ethylidene-6-methyl-3,5-heptadienal</t>
  </si>
  <si>
    <t>Bergaptan</t>
  </si>
  <si>
    <t>1-(2-Hydroxy-4,6-dimethoxyphenyl)-ethanone</t>
  </si>
  <si>
    <t>2-Methylaminomethyl-5-nitrobenzophenone</t>
  </si>
  <si>
    <t>1,2-Benzenediol</t>
  </si>
  <si>
    <t>Sclerone</t>
  </si>
  <si>
    <t>Galacturonic acid</t>
  </si>
  <si>
    <t>Arabinofuranose</t>
  </si>
  <si>
    <t>D-galactose</t>
  </si>
  <si>
    <t>hydroquinone</t>
  </si>
  <si>
    <t>phloroglucinol</t>
  </si>
  <si>
    <t>genkwanin</t>
  </si>
  <si>
    <t>Ferulic acid, di-TMS</t>
  </si>
  <si>
    <t>Malic acid, tri-TMS</t>
  </si>
  <si>
    <t>Succinic acid, di-TMS</t>
  </si>
  <si>
    <t>Oreophilin</t>
  </si>
  <si>
    <t>Palmitic acid, TMS</t>
  </si>
  <si>
    <t>Trans-9-octadecenoic acid</t>
  </si>
  <si>
    <t>D-Glucitol</t>
  </si>
  <si>
    <t>Threitol</t>
  </si>
  <si>
    <t>Hydrocinnamic acid</t>
  </si>
  <si>
    <t>cis-4-Coumaric acid</t>
  </si>
  <si>
    <t>1,3,8-trihydroxy-6-methylanthracene-9,10-dione</t>
  </si>
  <si>
    <t>Epicatechin</t>
  </si>
  <si>
    <t>2-Propenoic acid</t>
  </si>
  <si>
    <t>6-Octadecenoic acid</t>
  </si>
  <si>
    <t>Tetradecanoic acid, ethyl ester</t>
  </si>
  <si>
    <t>Dodecanoic acid, ethyl ester</t>
  </si>
  <si>
    <t>1,2-Benzenedicarboxylic acid, mono(2-ethylhexyl) ester</t>
  </si>
  <si>
    <t>p-Hydroxycinnamic acid, ethyl ester</t>
  </si>
  <si>
    <t>4-Methylbenzenamide, N-benzylidenamino-</t>
  </si>
  <si>
    <t>Benzene, ethynyl-</t>
  </si>
  <si>
    <t>Benzene, 1-methyl-4-nitroso-</t>
  </si>
  <si>
    <t>Mercury, chlorophenyl-</t>
  </si>
  <si>
    <t>4-pentenoic acid</t>
  </si>
  <si>
    <t>m-hydroxycinnamic acid</t>
  </si>
  <si>
    <t>1,3-benzenedicarboxylic acid</t>
  </si>
  <si>
    <t>2-propen-1-ol</t>
  </si>
  <si>
    <t>Ethanone</t>
  </si>
  <si>
    <t>3-methoxy acetophenone</t>
  </si>
  <si>
    <t>Gamma-eudesmol</t>
  </si>
  <si>
    <t>Alpha-eudesmol</t>
  </si>
  <si>
    <t>1-Pentanone</t>
  </si>
  <si>
    <t>2-propen-1-one</t>
  </si>
  <si>
    <t>4-pyrimidinamine</t>
  </si>
  <si>
    <t>Rheochrysidin</t>
  </si>
  <si>
    <t>p-hydroxyacetophenone</t>
  </si>
  <si>
    <t>3-Methyl-3-buten-1-ol</t>
  </si>
  <si>
    <t>3-Methylbutyl butanoate</t>
  </si>
  <si>
    <t>3-Methyl-2-buten-1-ol</t>
  </si>
  <si>
    <t>Phosphate</t>
  </si>
  <si>
    <t>Salicine</t>
  </si>
  <si>
    <t>Beta-D-Glucopyranose</t>
  </si>
  <si>
    <t>Glycerol monoacetate</t>
  </si>
  <si>
    <t>3-Hydroxy-4-methoxy benzoic acid</t>
  </si>
  <si>
    <t>2,5-Dihydroxy-7-methoxyflavanone</t>
  </si>
  <si>
    <t>3-Methyl-2-butenyl ferulate</t>
  </si>
  <si>
    <t>8-methoxykaempferol</t>
  </si>
  <si>
    <t>kaempferol 3-methyl ether</t>
  </si>
  <si>
    <t>luteolin 7-methyl ether</t>
  </si>
  <si>
    <t>quercetin 3,7-dimethyl ether</t>
  </si>
  <si>
    <t>isosakuranetin</t>
  </si>
  <si>
    <t>galangin 3-methyl ether</t>
  </si>
  <si>
    <t>3,4-dihydroxybenzaldehyde</t>
  </si>
  <si>
    <t>delta-3-carene</t>
  </si>
  <si>
    <t>l-Limonene</t>
  </si>
  <si>
    <t>Aromadendrene oxide-(1)</t>
  </si>
  <si>
    <t>n-Hexanol</t>
  </si>
  <si>
    <t>trans-2-Methyl-2-butenoic acid</t>
  </si>
  <si>
    <t>Apigetrin</t>
  </si>
  <si>
    <t>Quercetin 3-O-galactoside</t>
  </si>
  <si>
    <t>homoeriodictyol</t>
  </si>
  <si>
    <t>birkenal</t>
  </si>
  <si>
    <t>caffeic acid phenyl ester</t>
  </si>
  <si>
    <t>Cinnamic acid benzyl ester</t>
  </si>
  <si>
    <t>Cichoric acid</t>
  </si>
  <si>
    <t>Ellagic acid dihydrate</t>
  </si>
  <si>
    <t>1-Heptatriacotanol</t>
  </si>
  <si>
    <t>Benzeneacetic acid</t>
  </si>
  <si>
    <t>3-Methoxy-4-pentoxybenzoic acid</t>
  </si>
  <si>
    <t>D-glucuronic acid</t>
  </si>
  <si>
    <t>kaempferol-3-o-rutinoside</t>
  </si>
  <si>
    <t>salvigenin</t>
  </si>
  <si>
    <t>penduletin</t>
  </si>
  <si>
    <t>Caffeic acid ethyl ester</t>
  </si>
  <si>
    <t>Pinobanksin-5-methylether</t>
  </si>
  <si>
    <t>Quercetin-3,3-dimethyl ether</t>
  </si>
  <si>
    <t>2-Acetyl-1,3-di-p-coumaroylglycerol</t>
  </si>
  <si>
    <t>2-Acetyl-3-p-coumaroyl-1-feruloylglycerol</t>
  </si>
  <si>
    <t>Benzene, 1,3-dimethyl-</t>
  </si>
  <si>
    <t>3-Penten-2-ol</t>
  </si>
  <si>
    <t>Benzofuran, 2,3-dihydro-</t>
  </si>
  <si>
    <t>10-Heneicosene</t>
  </si>
  <si>
    <t>1-Cyclohexylnonene</t>
  </si>
  <si>
    <t>2-Butenoic acid, 3-methyl-</t>
  </si>
  <si>
    <t>Vulgarol A</t>
  </si>
  <si>
    <t>11-Hexadecen-1-ol, acetate, (Z)-</t>
  </si>
  <si>
    <t>Hexadecane, 1-chloro-</t>
  </si>
  <si>
    <t>3-Methoxycinnamic acid</t>
  </si>
  <si>
    <t>E-8-Hexadecen-1-ol acetate</t>
  </si>
  <si>
    <t>Octane, 2-methyl-</t>
  </si>
  <si>
    <t>1,5,8-p-menthatriene</t>
  </si>
  <si>
    <t>9-Tricosene, (Z)-</t>
  </si>
  <si>
    <t>Z-14-Nonacosane</t>
  </si>
  <si>
    <t>cis-Ocimene</t>
  </si>
  <si>
    <t>Phenol, 3-pentadecyl-</t>
  </si>
  <si>
    <t>Cyclopentane, (2-hexyloctyl)-</t>
  </si>
  <si>
    <t>3-Bromo-3-methylbutyric acid</t>
  </si>
  <si>
    <t>Octa-2,4,6-Triene</t>
  </si>
  <si>
    <t>trans-Pinocarveol</t>
  </si>
  <si>
    <t>1,2-Benzenedicarboxylic acid, butyl 2-ethylhexyl ester</t>
  </si>
  <si>
    <t>Artemisia triene</t>
  </si>
  <si>
    <t>trans-Isoelemicin</t>
  </si>
  <si>
    <t>Benzenepropanoic acid, ethyl ester</t>
  </si>
  <si>
    <t>10-epi-gamma-eudesmol</t>
  </si>
  <si>
    <t>Pyrazine, tetraethyl-</t>
  </si>
  <si>
    <t>1,2-Benzenedicarboxylic acid, diethyl ester</t>
  </si>
  <si>
    <t>Methyl 5-Hydroxy-3-Oxo-5-phenylpentanoate</t>
  </si>
  <si>
    <t>1,2-Benzenedicarboxylic acid, bis(2-methylpropyl) ester</t>
  </si>
  <si>
    <t>Pentadecanoic acid, ethyl ester</t>
  </si>
  <si>
    <t>Nonacosanol</t>
  </si>
  <si>
    <t>2-(Bromomethyl)-1,3,3-trimethylcyclohexene</t>
  </si>
  <si>
    <t>2-Nonenal, (E)-</t>
  </si>
  <si>
    <t>4-((1E)-3-Hydroxy-1-propenyl)-2-methoxyphenol</t>
  </si>
  <si>
    <t>4-vinylphenol</t>
  </si>
  <si>
    <t>Cyclotetradecane, 1,7,11-trimethyl-4-(1-methylethyl)-</t>
  </si>
  <si>
    <t>9-Octadecenoic acid (Z)-, methyl ester</t>
  </si>
  <si>
    <t>Ethanol, 2-(9-octadecenyloxy)-, (Z)-</t>
  </si>
  <si>
    <t>Cyclopentadecanone, 2-hydroxy-</t>
  </si>
  <si>
    <t>Longifolenaldehyde</t>
  </si>
  <si>
    <t>Z-13-Octadecen-1-ol acetate</t>
  </si>
  <si>
    <t>Benzaldehyde, 4-methyl-</t>
  </si>
  <si>
    <t>Thiophene, 2,4-diphenyl-</t>
  </si>
  <si>
    <t>2-Propenoic acid, 3-(4-methoxyphenyl)-, methyl ester</t>
  </si>
  <si>
    <t>Alpha-Campholene Aldehyde</t>
  </si>
  <si>
    <t>Heptadecane, 2-methyl-</t>
  </si>
  <si>
    <t>Benzoic acid, 2-hydroxy-, hydrazide</t>
  </si>
  <si>
    <t>1,3-Benzenedicarboxylic acid, 5-methyl-</t>
  </si>
  <si>
    <t>2-Furancarboxaldehyde, 5-(hydroxymethyl)-</t>
  </si>
  <si>
    <t>2,3-Dihydro-3,5-dihydroxy-6-methyl-4H-pyran-4-one</t>
  </si>
  <si>
    <t>Z-9-Tetradecen-1-ol formate</t>
  </si>
  <si>
    <t>4-epidehydroabietic acid</t>
  </si>
  <si>
    <t>4-Pentenoic acid, 5-phenyl-</t>
  </si>
  <si>
    <t>Decanoic acid, ethyl ester</t>
  </si>
  <si>
    <t>Heptadecanoic acid, 15-methyl-, ethyl ester</t>
  </si>
  <si>
    <t>2-Butenoic acid, 2-methyl-, (Z)-</t>
  </si>
  <si>
    <t>2-Dodecen-1-yl(-)succinic anhydride</t>
  </si>
  <si>
    <t>3,6-Nonadien-5-one, 2,2,8,8-tetramethyl-</t>
  </si>
  <si>
    <t>Benzene, hexamethyl-</t>
  </si>
  <si>
    <t>Benzamide, N-(amino)(4,4-dimethyl-2,6-dioxocyclohexylideno)methyl-</t>
  </si>
  <si>
    <t>2-Decen-1-ol, (E)-</t>
  </si>
  <si>
    <t>Linoleic acid ethyl ester</t>
  </si>
  <si>
    <t>salicylicacid</t>
  </si>
  <si>
    <t>phenylaceticacid</t>
  </si>
  <si>
    <t>c18h34o3</t>
  </si>
  <si>
    <t>caffeoylglycerol</t>
  </si>
  <si>
    <t>c19h18o7</t>
  </si>
  <si>
    <t>c16h14o7</t>
  </si>
  <si>
    <t>c18h18o5</t>
  </si>
  <si>
    <t>c22h22o11</t>
  </si>
  <si>
    <t>c19h18o5</t>
  </si>
  <si>
    <t>c23h18o7</t>
  </si>
  <si>
    <t>c23h26o6</t>
  </si>
  <si>
    <t>c19h20o6</t>
  </si>
  <si>
    <t>c32h32o10</t>
  </si>
  <si>
    <t>c33h32o10</t>
  </si>
  <si>
    <t>c20h34o3</t>
  </si>
  <si>
    <t>taxifolin</t>
  </si>
  <si>
    <t>fraxetin</t>
  </si>
  <si>
    <t>c20h32o4</t>
  </si>
  <si>
    <t>Eudesmic acid</t>
  </si>
  <si>
    <t>Aspartic acid</t>
  </si>
  <si>
    <t>Isoleucine</t>
  </si>
  <si>
    <t>Methionine</t>
  </si>
  <si>
    <t>Ornithine</t>
  </si>
  <si>
    <t>Serine</t>
  </si>
  <si>
    <t>Threonine</t>
  </si>
  <si>
    <t>Beta-Alanine</t>
  </si>
  <si>
    <t>alpinone</t>
  </si>
  <si>
    <t>galangin-5-methylether</t>
  </si>
  <si>
    <t>Methyl syringate</t>
  </si>
  <si>
    <t>hexanal</t>
  </si>
  <si>
    <t>(3e)-hex-3-enal</t>
  </si>
  <si>
    <t>alpha-pinene</t>
  </si>
  <si>
    <t>gamma-terpinene</t>
  </si>
  <si>
    <t>3-methylbutan-1-ol</t>
  </si>
  <si>
    <t>1-octen-3-one</t>
  </si>
  <si>
    <t>dimethyltrisulfide</t>
  </si>
  <si>
    <t>2,3-diethyl-5-methylpyrazine</t>
  </si>
  <si>
    <t>(2e,6z)-nona-2,6-dienal</t>
  </si>
  <si>
    <t>butanoicacid</t>
  </si>
  <si>
    <t>phenylacetaldehyde</t>
  </si>
  <si>
    <t>(2e,4e)-nona-2,4-dienal</t>
  </si>
  <si>
    <t>3-methylnonan-2,4-dione</t>
  </si>
  <si>
    <t>(e)-beta-damascenone</t>
  </si>
  <si>
    <t>hexanoicacid</t>
  </si>
  <si>
    <t>beta-ionone</t>
  </si>
  <si>
    <t>gamma-nonalactone</t>
  </si>
  <si>
    <t>hdmf</t>
  </si>
  <si>
    <t>4-methoxybenzaldehyde</t>
  </si>
  <si>
    <t>cinnamylformate</t>
  </si>
  <si>
    <t>4-methylphenol</t>
  </si>
  <si>
    <t>ethylcinnamate</t>
  </si>
  <si>
    <t>cinnamylacetate</t>
  </si>
  <si>
    <t>eugenol</t>
  </si>
  <si>
    <t>4-ethylphenol</t>
  </si>
  <si>
    <t>2,6-dimethoxyphenol</t>
  </si>
  <si>
    <t>14-hydroxypalmitic acid</t>
  </si>
  <si>
    <t>Butyl p-coumarate</t>
  </si>
  <si>
    <t>2-methylbutyrate</t>
  </si>
  <si>
    <t>Tetracosyl palmitate</t>
  </si>
  <si>
    <t>hexacosyl palmitate</t>
  </si>
  <si>
    <t>alpha-amyrin</t>
  </si>
  <si>
    <t>beta-amyrone</t>
  </si>
  <si>
    <t>beta-amyrin</t>
  </si>
  <si>
    <t>Olean-13(18)-en-3-one</t>
  </si>
  <si>
    <t>Cycloartenyl acetate</t>
  </si>
  <si>
    <t>7-hydroxyflavanone</t>
  </si>
  <si>
    <t>7-hydroxy-8-methoxyflavanone</t>
  </si>
  <si>
    <t>3,7-dihydroxy-8-methoxyflavone</t>
  </si>
  <si>
    <t>3,5-dihydroxy-7,8-dimethoxyflavone</t>
  </si>
  <si>
    <t>3,7-dihydroxyflavone</t>
  </si>
  <si>
    <t>7,8-dihydroxyflavanone</t>
  </si>
  <si>
    <t>Methoxyeugenol</t>
  </si>
  <si>
    <t>Cis-asarone</t>
  </si>
  <si>
    <t>(3S)-Vestitone</t>
  </si>
  <si>
    <t>(3S)-Ferreirin</t>
  </si>
  <si>
    <t>3,5-Dicaffeoyl quinic acid</t>
  </si>
  <si>
    <t>2-Nonanone</t>
  </si>
  <si>
    <t>a-Copaene</t>
  </si>
  <si>
    <t>a-Cubebene</t>
  </si>
  <si>
    <t>a-Farnesene</t>
  </si>
  <si>
    <t>b-Bourbonene</t>
  </si>
  <si>
    <t>campesterol</t>
  </si>
  <si>
    <t>stigmasterol</t>
  </si>
  <si>
    <t>tocopherol</t>
  </si>
  <si>
    <t>p-methylbenzoic acid</t>
  </si>
  <si>
    <t>isoliquiritigenin</t>
  </si>
  <si>
    <t>Rhuschalcone V</t>
  </si>
  <si>
    <t>Guttiferone F</t>
  </si>
  <si>
    <t>Terpinen-4-ol</t>
  </si>
  <si>
    <t>epi-Cedrol</t>
  </si>
  <si>
    <t>Isoanethole</t>
  </si>
  <si>
    <t>Methyl eugenol</t>
  </si>
  <si>
    <t>m-Guaiacol</t>
  </si>
  <si>
    <t>(3S)-7-o-methylvestitol</t>
  </si>
  <si>
    <t>3,4-dicaffeoylquinic acid</t>
  </si>
  <si>
    <t>p-coumarate</t>
  </si>
  <si>
    <t>pinocembrine</t>
  </si>
  <si>
    <t>Veratric acid</t>
  </si>
  <si>
    <t>2,2-Dimethyl-6-carboxyethenyl-2H-1-benzopyran</t>
  </si>
  <si>
    <t>Ethylphenol</t>
  </si>
  <si>
    <t>alfa-Terpineol</t>
  </si>
  <si>
    <t>Methoxybenzoic acid</t>
  </si>
  <si>
    <t>Methyl dihydrocinnamate</t>
  </si>
  <si>
    <t>EOF</t>
  </si>
  <si>
    <t>methyl p-hydroxybenzoate</t>
  </si>
  <si>
    <t>propyl p-hydroxybenzoate</t>
  </si>
  <si>
    <t>Octacosyl hexadecanoate</t>
  </si>
  <si>
    <t>Triacontyl hexadecanoate</t>
  </si>
  <si>
    <t>Dihydroferulic acid</t>
  </si>
  <si>
    <t>Tetrahydroxyflavone</t>
  </si>
  <si>
    <t>Octadecanoic acid, isopropyl ester</t>
  </si>
  <si>
    <t>5,7-dihydroxyflavanone</t>
  </si>
  <si>
    <t>2,3-dihydroxypropanoic acid</t>
  </si>
  <si>
    <t>cholest-5-en-3-ol</t>
  </si>
  <si>
    <t>stigmast-5-en-3-ol</t>
  </si>
  <si>
    <t>triacontanoic acid</t>
  </si>
  <si>
    <t>dotriacontanoic acid</t>
  </si>
  <si>
    <t>tetratriacontanoic acid</t>
  </si>
  <si>
    <t>2,2-dimethylchromene-6-carboxylic acid</t>
  </si>
  <si>
    <t>betuletol</t>
  </si>
  <si>
    <t>ermanin</t>
  </si>
  <si>
    <t>agathic acid</t>
  </si>
  <si>
    <t>4-dihydrocinnamoyloxy-3-prenylcinnamic acid</t>
  </si>
  <si>
    <t>moronic acid</t>
  </si>
  <si>
    <t>betulonic acid</t>
  </si>
  <si>
    <t>anwuweizonic acid</t>
  </si>
  <si>
    <t>4-hydroxy-3-methoxypropiophenone</t>
  </si>
  <si>
    <t>melliferone</t>
  </si>
  <si>
    <t>12-acetoxytremetone</t>
  </si>
  <si>
    <t>2,2-dimethyl-6-vinylchromene</t>
  </si>
  <si>
    <t>2,2-dimethyl-6-carboxyethenyl-8-prenyl-2H-1-benzopyran</t>
  </si>
  <si>
    <t>Mirtenol</t>
  </si>
  <si>
    <t>beta-Copaene</t>
  </si>
  <si>
    <t>Gamma-aminobutyric acid</t>
  </si>
  <si>
    <t>acetate</t>
  </si>
  <si>
    <t>L-Ascorbic acid</t>
  </si>
  <si>
    <t>beta-D-Fructose</t>
  </si>
  <si>
    <t>Cinnamic acid, 3,4-Dimethoxy-, trimethylsilyl ester</t>
  </si>
  <si>
    <t>3,4-Dihydroxy-9-Methoxypterocarpan</t>
  </si>
  <si>
    <t>Lup-20(29)-En-3-Yl Acetate</t>
  </si>
  <si>
    <t>(3S)-Violanone</t>
  </si>
  <si>
    <t>Olean-18-en-3-ol</t>
  </si>
  <si>
    <t>Olean-12-en-3-yl acetate</t>
  </si>
  <si>
    <t>Propol</t>
  </si>
  <si>
    <t>cynarine</t>
  </si>
  <si>
    <t>peltatoside</t>
  </si>
  <si>
    <t>culifolin</t>
  </si>
  <si>
    <t>(7S)-dalbergiphenol</t>
  </si>
  <si>
    <t>allo-Aromadendrene</t>
  </si>
  <si>
    <t>gamma-muurolene</t>
  </si>
  <si>
    <t>lup-20(29)-en-3-ol</t>
  </si>
  <si>
    <t>alnustinol</t>
  </si>
  <si>
    <t>2-methyl-3-buten-2-ol</t>
  </si>
  <si>
    <t>beta-thujene</t>
  </si>
  <si>
    <t>3-methyl-2-butenal</t>
  </si>
  <si>
    <t>cumene</t>
  </si>
  <si>
    <t>mesitylene</t>
  </si>
  <si>
    <t>isobutylbenzoate</t>
  </si>
  <si>
    <t>3-methylbutanoicacid</t>
  </si>
  <si>
    <t>hexadecanol</t>
  </si>
  <si>
    <t>nonadecanol</t>
  </si>
  <si>
    <t>benzylcinnamate</t>
  </si>
  <si>
    <t>trans-(-)-pinocarveol</t>
  </si>
  <si>
    <t>linalool oxide (pyranoid)</t>
  </si>
  <si>
    <t>r-limonene</t>
  </si>
  <si>
    <t>4-Terpineol acetate</t>
  </si>
  <si>
    <t>thymoquinone</t>
  </si>
  <si>
    <t>m-eugenol</t>
  </si>
  <si>
    <t>(+)-longifolene</t>
  </si>
  <si>
    <t>cyclosativene</t>
  </si>
  <si>
    <t>sativene</t>
  </si>
  <si>
    <t>rotundene</t>
  </si>
  <si>
    <t>alloaromadendrene</t>
  </si>
  <si>
    <t>eremophilene</t>
  </si>
  <si>
    <t>10-epizonarene</t>
  </si>
  <si>
    <t>(-)-spathulenol</t>
  </si>
  <si>
    <t>garcinoic acid</t>
  </si>
  <si>
    <t>Isochlorogenic acid B</t>
  </si>
  <si>
    <t>isobutanoic acid</t>
  </si>
  <si>
    <t>2-methylhexanoic acid</t>
  </si>
  <si>
    <t>1-octen-3-ol</t>
  </si>
  <si>
    <t>2,6-dimethyl-3,7-octadiene-2,6-diol</t>
  </si>
  <si>
    <t>anise alcohol</t>
  </si>
  <si>
    <t>humulane-1,6-dien-3-ol</t>
  </si>
  <si>
    <t>3-hydroxybutanal</t>
  </si>
  <si>
    <t>3-methylbutanal</t>
  </si>
  <si>
    <t>furfural</t>
  </si>
  <si>
    <t>(E)-2-hexenal</t>
  </si>
  <si>
    <t>heptanal</t>
  </si>
  <si>
    <t>cuminaldehyde</t>
  </si>
  <si>
    <t>benzenebutanal</t>
  </si>
  <si>
    <t>(-)-perillaldehyde</t>
  </si>
  <si>
    <t>undecanal</t>
  </si>
  <si>
    <t>dodecanal</t>
  </si>
  <si>
    <t>acetone</t>
  </si>
  <si>
    <t>4-acetyl-1-methylcyclohexene</t>
  </si>
  <si>
    <t>2-propenophenone</t>
  </si>
  <si>
    <t>2-undecanone</t>
  </si>
  <si>
    <t>pyrethrone</t>
  </si>
  <si>
    <t>isobutyl acetate</t>
  </si>
  <si>
    <t>Isopentyl propanoate</t>
  </si>
  <si>
    <t>1-octen-3-yl-acetate</t>
  </si>
  <si>
    <t>methyl octanoate</t>
  </si>
  <si>
    <t>methyl benzeneacetate</t>
  </si>
  <si>
    <t>bornyl acetate</t>
  </si>
  <si>
    <t>myrtanyl acetate</t>
  </si>
  <si>
    <t>2,4(10)-thujadiene</t>
  </si>
  <si>
    <t>1,1-dimethyl-3-methylene-2-vinylcyclohexane</t>
  </si>
  <si>
    <t>4-ethyl-1,2-dimethoxybenzene</t>
  </si>
  <si>
    <t>1,5,5-trimethyl-6-methylene-cyclohexene</t>
  </si>
  <si>
    <t>terpinolene</t>
  </si>
  <si>
    <t>camphen-6-ol</t>
  </si>
  <si>
    <t>cis-sabinene hydrate</t>
  </si>
  <si>
    <t>cis-verbenol</t>
  </si>
  <si>
    <t>isopinocamphone</t>
  </si>
  <si>
    <t>trans-carveol</t>
  </si>
  <si>
    <t>nopol</t>
  </si>
  <si>
    <t>isoledene</t>
  </si>
  <si>
    <t>4,5-di-epi-aristolochene</t>
  </si>
  <si>
    <t>(-)-cubenol</t>
  </si>
  <si>
    <t>8-cedren-13-ol</t>
  </si>
  <si>
    <t>cedrenol</t>
  </si>
  <si>
    <t>guaiazulene</t>
  </si>
  <si>
    <t>phytane</t>
  </si>
  <si>
    <t>biformene</t>
  </si>
  <si>
    <t>16-kaurene</t>
  </si>
  <si>
    <t>sclareol</t>
  </si>
  <si>
    <t>trans-2,6-dimethyl-2-6-octadiene</t>
  </si>
  <si>
    <t>benzyl nitrile</t>
  </si>
  <si>
    <t>p-vinylanisole</t>
  </si>
  <si>
    <t>thymol methyl ether</t>
  </si>
  <si>
    <t>p-ethylguaiacol</t>
  </si>
  <si>
    <t>manoyl oxide</t>
  </si>
  <si>
    <t>pentanoic acid</t>
  </si>
  <si>
    <t>1-phenylethanol</t>
  </si>
  <si>
    <t>2-nonanol</t>
  </si>
  <si>
    <t>santolina alcohol</t>
  </si>
  <si>
    <t>3,3-dimethylcyclohexanol</t>
  </si>
  <si>
    <t>(E)-2-octenal</t>
  </si>
  <si>
    <t>(E)-2-decenal</t>
  </si>
  <si>
    <t>heptanone</t>
  </si>
  <si>
    <t>4-(5-methyl-2-furyl)-2-butanone</t>
  </si>
  <si>
    <t>hexahydrofarnesyl acetone</t>
  </si>
  <si>
    <t>propyl propanoate</t>
  </si>
  <si>
    <t>isopropyl butyrate</t>
  </si>
  <si>
    <t>isopentyl acetate</t>
  </si>
  <si>
    <t>pentyl butanoate</t>
  </si>
  <si>
    <t>isopropyl benzoate</t>
  </si>
  <si>
    <t>propyl benzoate</t>
  </si>
  <si>
    <t>phenylethyl propionate</t>
  </si>
  <si>
    <t>isocaryophyllene</t>
  </si>
  <si>
    <t>widdrol</t>
  </si>
  <si>
    <t>patchoulane</t>
  </si>
  <si>
    <t>cedr-8-en-15-ol</t>
  </si>
  <si>
    <t>guaia-3,9-diene</t>
  </si>
  <si>
    <t>2,7-dimethyloxepine</t>
  </si>
  <si>
    <t>5,5-dimethyl-2(5h)-furanone</t>
  </si>
  <si>
    <t>4,4-dimethylbutyrolactone</t>
  </si>
  <si>
    <t>1,4-dimethoxybenzene</t>
  </si>
  <si>
    <t>3,5-dimethoxytoluene</t>
  </si>
  <si>
    <t>diepicedrene-1-oxide</t>
  </si>
  <si>
    <t>murolan-3,9(11)-diene-10-peroxy</t>
  </si>
  <si>
    <t>5-methyifurfural</t>
  </si>
  <si>
    <t>(E,E)-2,4-heptadienal</t>
  </si>
  <si>
    <t>longiverbenone</t>
  </si>
  <si>
    <t>benzyl methanoate</t>
  </si>
  <si>
    <t>benzyl isobutanoate</t>
  </si>
  <si>
    <t>camphenilone</t>
  </si>
  <si>
    <t>longicyclene</t>
  </si>
  <si>
    <t>elemol</t>
  </si>
  <si>
    <t>phenol</t>
  </si>
  <si>
    <t>theaspirane</t>
  </si>
  <si>
    <t>1-heptanol</t>
  </si>
  <si>
    <t>4,7,7-trimethylbicyclo[4.1.0]heptan-2-ol</t>
  </si>
  <si>
    <t>2-undecenal</t>
  </si>
  <si>
    <t>p-benzoquinone</t>
  </si>
  <si>
    <t>3-nonen-2-one</t>
  </si>
  <si>
    <t>dihydropseudoionone</t>
  </si>
  <si>
    <t>ethyl octanoate</t>
  </si>
  <si>
    <t>methyl palmitoleate</t>
  </si>
  <si>
    <t>1-undecyne</t>
  </si>
  <si>
    <t>veratrole</t>
  </si>
  <si>
    <t>formonetin</t>
  </si>
  <si>
    <t>benzophenone</t>
  </si>
  <si>
    <t>nemorosone</t>
  </si>
  <si>
    <t>lignocericacid</t>
  </si>
  <si>
    <t>lupeolacetate</t>
  </si>
  <si>
    <t>heptadecadienylresorcinol</t>
  </si>
  <si>
    <t>heptadecenylresorcinol</t>
  </si>
  <si>
    <t>oleanolicacid</t>
  </si>
  <si>
    <t>maslinicacid</t>
  </si>
  <si>
    <t>scopoletin</t>
  </si>
  <si>
    <t>Sesquiterpenes</t>
  </si>
  <si>
    <t>a-cadinol</t>
  </si>
  <si>
    <t>cycloart-24-en-3beta,26-diol</t>
  </si>
  <si>
    <t>15-Hydroxyhexadecanoic acid</t>
  </si>
  <si>
    <t>cardol</t>
  </si>
  <si>
    <t>27-hydroxyisomangiferolic acid</t>
  </si>
  <si>
    <t>Trans-2-Hexen-1-ol</t>
  </si>
  <si>
    <t>1-octanol</t>
  </si>
  <si>
    <t>2,2,4-Trimethyl Pentane</t>
  </si>
  <si>
    <t>N-Undecane</t>
  </si>
  <si>
    <t>N-decane</t>
  </si>
  <si>
    <t>Benzyl Ethyl ketone</t>
  </si>
  <si>
    <t>1-methylene-1H-indene</t>
  </si>
  <si>
    <t>D-Isomenthol</t>
  </si>
  <si>
    <t>2-Furanmethanol</t>
  </si>
  <si>
    <t>Cyclopentanedione</t>
  </si>
  <si>
    <t>2-Hydroxy cinnamic acid</t>
  </si>
  <si>
    <t>3,6-dimethoxyapigenin</t>
  </si>
  <si>
    <t>6-methoxykaempferol</t>
  </si>
  <si>
    <t>6-methoxyapigenin</t>
  </si>
  <si>
    <t>m-Cymene</t>
  </si>
  <si>
    <t>trans-Linalool oxide (furanoid)</t>
  </si>
  <si>
    <t>cis-Linalool oxide (furanoid)</t>
  </si>
  <si>
    <t>Benzenepropanal</t>
  </si>
  <si>
    <t>2-Hydroxy-5-methylacetophenone</t>
  </si>
  <si>
    <t>Isogermacrene D</t>
  </si>
  <si>
    <t>Epicubenol</t>
  </si>
  <si>
    <t>Phenylethyl benzoate</t>
  </si>
  <si>
    <t>a-Terpineol</t>
  </si>
  <si>
    <t>ar-Curcumene</t>
  </si>
  <si>
    <t>Selina-3,7(11)-diene</t>
  </si>
  <si>
    <t>Caffeic acid phenethyl ester (CAPE)</t>
  </si>
  <si>
    <t>2-Butenal</t>
  </si>
  <si>
    <t>Pentanol</t>
  </si>
  <si>
    <t>2-Pentyl-furan</t>
  </si>
  <si>
    <t>Campholenal</t>
  </si>
  <si>
    <t>Furanone</t>
  </si>
  <si>
    <t>2-Methoxy benzyl alcohol</t>
  </si>
  <si>
    <t>caffeic acid methyl ester</t>
  </si>
  <si>
    <t>Benzyl methyl ketone</t>
  </si>
  <si>
    <t>4-Hydroxy-3-methylacetophenone</t>
  </si>
  <si>
    <t>1,6-Anhydro-.beta.-D-glucopyranose</t>
  </si>
  <si>
    <t>1-hentriacontanol</t>
  </si>
  <si>
    <t>Stilbene</t>
  </si>
  <si>
    <t>Daizein</t>
  </si>
  <si>
    <t>Isorhamnetin-3-O-rutinoside</t>
  </si>
  <si>
    <t>p-Coumaroyl malic acid</t>
  </si>
  <si>
    <t>dammarenediol II</t>
  </si>
  <si>
    <t>4-O-caffeoylquinic acid</t>
  </si>
  <si>
    <t>3,5-di-caffeoylquinic acid</t>
  </si>
  <si>
    <t>Indoleacetic acid</t>
  </si>
  <si>
    <t>geranyl caffeate</t>
  </si>
  <si>
    <t>NDGA</t>
  </si>
  <si>
    <t>Phenol, 4-propoxy-</t>
  </si>
  <si>
    <t>2,5-Dihydroxyphenol</t>
  </si>
  <si>
    <t>5,7,3,4,5-Pentahydroxyflavone</t>
  </si>
  <si>
    <t>4-Hydroxyflavanone</t>
  </si>
  <si>
    <t>4-Amino-9-methoxypsoralen</t>
  </si>
  <si>
    <t>6,7-Dimethoxy-3-isochromanone</t>
  </si>
  <si>
    <t>Gardenin</t>
  </si>
  <si>
    <t>2,6-Di-tert-butyl-4-methoxyphenol</t>
  </si>
  <si>
    <t>cyclooctasulfur</t>
  </si>
  <si>
    <t>veratraldehyde</t>
  </si>
  <si>
    <t>7-o-methylkaempferol</t>
  </si>
  <si>
    <t>piperonal</t>
  </si>
  <si>
    <t>bicyclogermacrene</t>
  </si>
  <si>
    <t>beta-pinene</t>
  </si>
  <si>
    <t>sylvestrene</t>
  </si>
  <si>
    <t>thujone</t>
  </si>
  <si>
    <t>trans-pinocamphone</t>
  </si>
  <si>
    <t>d-fenchone</t>
  </si>
  <si>
    <t>p-cymen-9-ol</t>
  </si>
  <si>
    <t>citronellol</t>
  </si>
  <si>
    <t>ocimenone</t>
  </si>
  <si>
    <t>ethylnonanoate</t>
  </si>
  <si>
    <t>alpha-longipinene</t>
  </si>
  <si>
    <t>n-decylacetate</t>
  </si>
  <si>
    <t>beta-bisabolene</t>
  </si>
  <si>
    <t>methyl-acetate</t>
  </si>
  <si>
    <t>2,4-dimethyl-1-heptene</t>
  </si>
  <si>
    <t>alpha-copaene</t>
  </si>
  <si>
    <t>(+)-camphor</t>
  </si>
  <si>
    <t>calamenene</t>
  </si>
  <si>
    <t>coniferylferulate</t>
  </si>
  <si>
    <t>strobopinin</t>
  </si>
  <si>
    <t>tricin</t>
  </si>
  <si>
    <t>chrysoeriol</t>
  </si>
  <si>
    <t>dmea</t>
  </si>
  <si>
    <t>pratensein</t>
  </si>
  <si>
    <t>violanone</t>
  </si>
  <si>
    <t>vestitone</t>
  </si>
  <si>
    <t>dehydroabieticacid</t>
  </si>
  <si>
    <t>bicycloelemene</t>
  </si>
  <si>
    <t>beta-elemene</t>
  </si>
  <si>
    <t>beta-selinene</t>
  </si>
  <si>
    <t>alpha-cadinene</t>
  </si>
  <si>
    <t>resorcinol</t>
  </si>
  <si>
    <t>homopterocarpin</t>
  </si>
  <si>
    <t>isosativan</t>
  </si>
  <si>
    <t>alpha-thujene</t>
  </si>
  <si>
    <t>alpha-fenchene</t>
  </si>
  <si>
    <t>1,3,8-p-menthatriene</t>
  </si>
  <si>
    <t>alpha-terpinene</t>
  </si>
  <si>
    <t>o-cymene</t>
  </si>
  <si>
    <t>trans-p-menth-2-en-1,8-diol</t>
  </si>
  <si>
    <t>longifolene</t>
  </si>
  <si>
    <t>alpha-muurolene</t>
  </si>
  <si>
    <t>18-norabietane</t>
  </si>
  <si>
    <t>dehydroabietane</t>
  </si>
  <si>
    <t>ni5</t>
  </si>
  <si>
    <t>methylheptadecanoate</t>
  </si>
  <si>
    <t>3-methylpentane</t>
  </si>
  <si>
    <t>2,4-dimethylpentane</t>
  </si>
  <si>
    <t>Ganoderol A</t>
  </si>
  <si>
    <t>2,5-Dimethyl-7-hydroxychromone</t>
  </si>
  <si>
    <t>Moslosooflavone</t>
  </si>
  <si>
    <t>MethylophiopogononeA</t>
  </si>
  <si>
    <t>Cinnamylidene acetic acid</t>
  </si>
  <si>
    <t>4-hydroxy-4-methyl-2-pentanone</t>
  </si>
  <si>
    <t>Epimanool</t>
  </si>
  <si>
    <t>Cyclolaudenol</t>
  </si>
  <si>
    <t>cis-10-pentadecenoic acid</t>
  </si>
  <si>
    <t>cis-9-hexadecenoic acid</t>
  </si>
  <si>
    <t>cis-10-heptadecenoic acid</t>
  </si>
  <si>
    <t>cis-11-eicosenoic acid</t>
  </si>
  <si>
    <t>cis-15-tetracosenoic acid</t>
  </si>
  <si>
    <t>Gamma-linolenic acid</t>
  </si>
  <si>
    <t>cis-11,14-eicosadienoic acid</t>
  </si>
  <si>
    <t>cis-8,11,14-eicosatrienoic acid</t>
  </si>
  <si>
    <t>cis-11,14,17-eicosatrienoic acid</t>
  </si>
  <si>
    <t>all-cis-5,8,11,14-eicosatetraenoic acid</t>
  </si>
  <si>
    <t>cis-5,8,11,14,17-eicosapentaenoic acid</t>
  </si>
  <si>
    <t>cis-4,7,10,13,16,19-docosahexaenoic acid</t>
  </si>
  <si>
    <t>9-tetradecenoic acid</t>
  </si>
  <si>
    <t>2,3-Dimethyl-4-methoxyphenol</t>
  </si>
  <si>
    <t>Turpentine camphor</t>
  </si>
  <si>
    <t>Isorhamnetin-3-O-glucoside</t>
  </si>
  <si>
    <t>Phloridzin</t>
  </si>
  <si>
    <t>3,5-dinitrocatechol</t>
  </si>
  <si>
    <t>SMILES</t>
  </si>
  <si>
    <t>C1=CC=C(C=C1)[C@@H]2[C@H](C(=O)C3=C(C=C(C=C3O2)O)O)O</t>
  </si>
  <si>
    <t>C1[C@H](OC2=CC(=CC(=C2C1=O)O)O)C3=CC=CC=C3</t>
  </si>
  <si>
    <t>C1=CC=C(C=C1)CCOC(=O)/C=C/C2=CC(=C(C=C2)O)O</t>
  </si>
  <si>
    <t>C1=CC=C(C=C1)C2=CC(=O)C3=C(C=C(C=C3O2)O)O</t>
  </si>
  <si>
    <t>C1=CC=C(C=C1)C2=C(C(=O)C3=C(C=C(C=C3O2)O)O)O</t>
  </si>
  <si>
    <t>COC1=CC(=C2C(=O)C[C@H](OC2=C1)C3=CC=CC=C3)O</t>
  </si>
  <si>
    <t>CCCCCCCCCCCCCCCC(=O)O</t>
  </si>
  <si>
    <t>CCCCCCCCCCCCCCCCCC(=O)O</t>
  </si>
  <si>
    <t>CCCCCCCC/C=C\CCCCCCCC(=O)O</t>
  </si>
  <si>
    <t>CCCCCCCCCCCCCCCCCCCCCCCC(=O)O</t>
  </si>
  <si>
    <t>C(CC(=O)O)C(=O)O</t>
  </si>
  <si>
    <t>CC(C(=O)O)O</t>
  </si>
  <si>
    <t>C1=CC=C(C=C1)C(=O)O</t>
  </si>
  <si>
    <t>C1=CC(=CC=C1/C=C/C(=O)O)O</t>
  </si>
  <si>
    <t>C1=CC(=C(C=C1/C=C/C(=O)O)O)O</t>
  </si>
  <si>
    <t>COC1=C(C=CC(=C1)/C=C/C(=O)O)O</t>
  </si>
  <si>
    <t>COC(=C(C(=O)O)OC)C1=CC=CC=C1</t>
  </si>
  <si>
    <t>CCCCCCCCCCCCCCCC(=O)OCC</t>
  </si>
  <si>
    <t>CCCCCCCC/C=C\CCCCCCCC(=O)OCC</t>
  </si>
  <si>
    <t>CCCCCCCCCCCCOC(=O)/C=C/C1=CC(=C(C=C1)O)O</t>
  </si>
  <si>
    <t>CCCCCCCCCCCCCCCCOC(=O)/C=C/C1=CC(=C(C=C1)O)O</t>
  </si>
  <si>
    <t>C1=CC=C(C=C1)COC(=O)/C=C/C2=CC(=C(C=C2)O)O</t>
  </si>
  <si>
    <t>C([C@@H]1[C@H]([C@@H]([C@H](C(O1)O)O)O)O)O</t>
  </si>
  <si>
    <t>C1[C@@H]([C@H]([C@@H](C(O1)(CO)O)O)O)O</t>
  </si>
  <si>
    <t>C1[C@H]([C@H]([C@@H](C(O1)(CO)O)O)O)O</t>
  </si>
  <si>
    <t>C([C@@H]1[C@H]([C@@H]([C@H]([C@H](O1)O[C@]2([C@H]([C@@H]([C@H](O2)CO)O)O)CO)O)O)O)O</t>
  </si>
  <si>
    <t>C([C@H]([C@H]([C@@H]([C@@H](CO)O)O)O)O)O</t>
  </si>
  <si>
    <t>COC1=CC(=C2C(=O)CC(OC2=C1)C3=CC=CC=C3)O</t>
  </si>
  <si>
    <t>COC1=CC(=C2C(=O)C[C@@H](OC2=C1)C3=CC=CC=C3)O</t>
  </si>
  <si>
    <t>CC(=O)O[C@@H]1[C@H](OC2=CC(=CC(=C2C1=O)O)O)C3=CC=CC=C3</t>
  </si>
  <si>
    <t>C[C@H](CCC=C(C)C)[C@H]1CC[C@@]2([C@@]1(CCC3=C2CC[C@@H]4[C@@]3(CC[C@@H](C4(C)C)O)C)C)C</t>
  </si>
  <si>
    <t>C[C@H](CCC=C(C)C)[C@H]1CC[C@@]2([C@@]1(CC[C@]34[C@H]2CC[C@@H]5[C@]3(C4)CC[C@@H](C5(C)C)O)C)C</t>
  </si>
  <si>
    <t>C[C@@]12CC[C@@]3(C(=CC[C@H]4[C@]3(CC[C@@H]5[C@@]4(CC[C@@H](C5(C)C)O)C)C)C1CC(CC2)(C)C)C</t>
  </si>
  <si>
    <t>OP(=O)(O)O</t>
  </si>
  <si>
    <t>CCCCCCCCCCCCCCCCCCCCCCC</t>
  </si>
  <si>
    <t>CCCCCCCCCCCCCCCCCCOCC(CO)O</t>
  </si>
  <si>
    <t>COC1=CC(=C2C(=C1)OC(=CC2=O)C3=CC=CC=C3)O</t>
  </si>
  <si>
    <t>C[C@]12CCC[C@]([C@@H]1CCC(=C)[C@@H]2CC[C@](C)(C=C)O)(C)C(=O)O</t>
  </si>
  <si>
    <t>C1=CC(=C(C=C1/C=C/C(=O)O)O)[O-]</t>
  </si>
  <si>
    <t>COC1=CC2=C(C=C1)[C@@H]3COC4=C([C@@H]3O2)C=CC(=C4)O</t>
  </si>
  <si>
    <t>COC1=C(C=C(C=C1)C2=COC3=C(C2=O)C=CC(=C3)O)O</t>
  </si>
  <si>
    <t>C1[C@H](OC2=C(C1=O)C=CC(=C2)O)C3=CC=C(C=C3)O</t>
  </si>
  <si>
    <t>CC(=CCC/C(=C/CC1=C(C2=C(C=C1O)OC(=C(C2=O)O)C3=CC=C(C=C3)O)O)/C)C</t>
  </si>
  <si>
    <t>COC1=CC(=C(C=C1)C2CC3=C(C=C(C=C3)O)OC2)O</t>
  </si>
  <si>
    <t>CC(=CCC1=C(C2=C(C=C1O)O[C@@H](CC2=O)C3=CC=C(C=C3)O)O)C</t>
  </si>
  <si>
    <t>CC(=CCC1=C2C(=C(C=C1O)O)C(=O)C[C@H](O2)C3=CC=C(C=C3)O)C</t>
  </si>
  <si>
    <t>CCCCCOC(=O)/C=C/C1=CC(=C(C=C1)O)O</t>
  </si>
  <si>
    <t>CCCC=COC(=O)/C=C/C1=CC(=C(C=C1)O)O</t>
  </si>
  <si>
    <t>C1=CC=C(C=C1)/C=C/C(=O)C2=C(C=C(C=C2O)O)O</t>
  </si>
  <si>
    <t>C1=CC(=CC=C1C2=C(C(=O)C3=C(C=C(C=C3O2)O)O)O)O</t>
  </si>
  <si>
    <t>COC1=CC(=C(C(=C1)O)C(=O)/C=C/C2=CC=CC=C2)O</t>
  </si>
  <si>
    <t>C1=CC(=C(C=C1C2=C(C(=O)C3=C(C=C(C=C3O2)O)O)O)O)O</t>
  </si>
  <si>
    <t>C(C(CO)O)O</t>
  </si>
  <si>
    <t>C([C@@H]1[C@H]([C@@H](C(O1)(CO)O)O)O)O</t>
  </si>
  <si>
    <t>CC(C)C1=C(C=CC2=C1CC[C@@H]3[C@@]2(CCCC3(C)C)C)O</t>
  </si>
  <si>
    <t>CC(C)C1=CC2=C(C=C1)[C@]3(CCC[C@@]([C@@H]3CC2)(C)C(=O)O)C</t>
  </si>
  <si>
    <t>CC(=C)[C@@H]1CC[C@]2([C@H]1[C@H]3CC[C@@H]4[C@]5(CC[C@@H](C([C@@H]5CC[C@]4([C@@]3(CC2)C)C)(C)C)O)C)C</t>
  </si>
  <si>
    <t>CCCCCCCCCCCCCCC/C=C/C(=O)O</t>
  </si>
  <si>
    <t>CCCCCCCCCCCCCC(=O)OC</t>
  </si>
  <si>
    <t>CCCCCCCCCCCCC(=O)OC</t>
  </si>
  <si>
    <t>CCCCCCCCCC(=O)OC</t>
  </si>
  <si>
    <t>CC(C)CCCCCCCCCCCCC(=O)OC</t>
  </si>
  <si>
    <t>CCCCCCCCCCCCCCCC(=O)OC</t>
  </si>
  <si>
    <t>CC(C)CCCCCCCCCCCCCC(=O)OC</t>
  </si>
  <si>
    <t>CCCCCCCCCCCCCCC(=O)O</t>
  </si>
  <si>
    <t>CCCCCCCCCCCCCCCCC(=O)O</t>
  </si>
  <si>
    <t>CCCCC/C=C/C/C=C/CCCCCCCCCC(=O)OC</t>
  </si>
  <si>
    <t>CCCCC/C=C/C/C=C/CCCCCC(=O)OC</t>
  </si>
  <si>
    <t>CCCC=CCC=CCCCCCCCC(=O)OC</t>
  </si>
  <si>
    <t>CCCCCC/C=C/CCCCCCCCCC(=O)OC</t>
  </si>
  <si>
    <t>C/C=C/C/C=C/CCCCCCCCCCCC(=O)OC</t>
  </si>
  <si>
    <t>CCCCCCCCCCC/C=C/CCCCC(=O)OC</t>
  </si>
  <si>
    <t>CCCCCCCCC=CCCCCCC(=O)OC</t>
  </si>
  <si>
    <t>CCCCCCCC/C=C\CCCCCC(=O)OC</t>
  </si>
  <si>
    <t>CCCCCCCCCCCCCCCCCC(=O)OC</t>
  </si>
  <si>
    <t>CCCCCC/C=C/CCCCCCCC(=O)O</t>
  </si>
  <si>
    <t>CCCCCCCC/C=C\CCCCCCCCCCCC(=O)O</t>
  </si>
  <si>
    <t>CCCC/C=C\CCCCCCCCCO</t>
  </si>
  <si>
    <t>CCCC/C=C/CCCCCCCC(=O)O</t>
  </si>
  <si>
    <t>CCCCCCCCCCCCCCCCCC(=O)OCCOCCO</t>
  </si>
  <si>
    <t>CCCCCCCCCCCCCCCCCC(C)C</t>
  </si>
  <si>
    <t>CCCCCCCCCCCCCCCC</t>
  </si>
  <si>
    <t>CCCCCCCCCCCCCCCCCCCC(=O)OC</t>
  </si>
  <si>
    <t>CCCCCCCCCCCCCCCCCCCCC(=O)OC</t>
  </si>
  <si>
    <t>CCCCCCCCCCCCCCCCCCCCCC(=O)OC</t>
  </si>
  <si>
    <t>CCCCCCCCCCCCCCCCCCCC(=O)O</t>
  </si>
  <si>
    <t>CCCCCCCCCCCCCCCCCCCC</t>
  </si>
  <si>
    <t>CCCCCCCCCCCCCCCCCCCCCCCC</t>
  </si>
  <si>
    <t>CCCCCCCCCCCCCCC</t>
  </si>
  <si>
    <t>CCCCCCCCCCCCCCCCCCCCCCCCCCC(=O)OC</t>
  </si>
  <si>
    <t>CCCCCCCCCCCCCCCCCCCCCCCCCCCC</t>
  </si>
  <si>
    <t>CCCCCCCCCCCCCCCCCCCCCCCCCCC</t>
  </si>
  <si>
    <t>CCCCCCCCCCCCCCCCCCCCCCCCCCCCCCCCCCCCCCCCCCCC</t>
  </si>
  <si>
    <t>CCCCCCCCCCCCCCCCCCCCCCCCCCCCCC(=O)OC</t>
  </si>
  <si>
    <t>CC(=CCC/C(=C/CC/C(=C/CC/C=C(/CC/C=C(/CCC=C(C)C)\C)\C)/C)/C)C</t>
  </si>
  <si>
    <t>C1=CC=C(C=C1)/C=C/C(=O)O</t>
  </si>
  <si>
    <t>C[C@H]1[C@@H]([C@H]([C@H]([C@@H](O1)O[C@@H]2[C@H]([C@@H]([C@H](O[C@H]2OC3=CC(=C4C(=O)C[C@H](OC4=C3)C5=CC=C(C=C5)O)O)CO)O)O)O)O)O</t>
  </si>
  <si>
    <t>C[C@H]1[C@@H]([C@H]([C@H]([C@@H](O1)OC[C@@H]2[C@H]([C@@H]([C@H]([C@@H](O2)OC3=C(OC4=CC(=CC(=C4C3=O)O)O)C5=CC(=C(C=C5)O)O)O)O)O)O)O)O</t>
  </si>
  <si>
    <t>C1=CC(=C(C=C1C2=C(C(=O)C3=C(C=C(C=C3O2)O)O)O[C@H]4[C@@H]([C@H]([C@@H]([C@H](O4)CO)O)O)O)O)O</t>
  </si>
  <si>
    <t>C[C@H]1[C@@H]([C@H]([C@H]([C@@H](O1)OC2=C(OC3=CC(=CC(=C3C2=O)O)O)C4=CC(=C(C=C4)O)O)O)O)O</t>
  </si>
  <si>
    <t>C1[C@H](OC2=CC(=CC(=C2C1=O)O)O)C3=CC=C(C=C3)O</t>
  </si>
  <si>
    <t>C1C(OC2=CC(=CC(=C2C1=O)O)O)C3=CC=C(C=C3)O</t>
  </si>
  <si>
    <t>C1[C@@H](OC2=CC(=CC(=C2C1=O)O)O)C3=CC=C(C=C3)O</t>
  </si>
  <si>
    <t>COC1=CC(=C2C(=C1)OC(=C(C2=O)O)C3=CC(=C(C=C3)O)O)O</t>
  </si>
  <si>
    <t>C1=CC(=CC=C1C2=CC(=O)C3=C(C=C(C=C3O2)O)O)O</t>
  </si>
  <si>
    <t>COC1=CC=C(C=C1)C2=CC(=O)C3=C(C=C(C=C3O2)O)O</t>
  </si>
  <si>
    <t>C1=CC(=CC=C1C2=COC3=CC(=CC(=C3C2=O)O)O)O</t>
  </si>
  <si>
    <t>COC1=C(C=C(C=C1)/C=C/C(=O)O)O</t>
  </si>
  <si>
    <t>CCCC=COC(=O)/C=C/C1=CC(=C(C=C1)O)OC</t>
  </si>
  <si>
    <t>COC1=C(C=CC(=C1)/C=C/C(=O)OCC2=CC=CC=C2)O</t>
  </si>
  <si>
    <t>C1=CC=C(C=C1)COC(=O)/C=C/C2=CC=C(C=C2)O</t>
  </si>
  <si>
    <t>CCOC1=CC=C(C=C1)OC(=O)/C=C/C2=CC(=C(C=C2)O)O</t>
  </si>
  <si>
    <t>C1=CC=C(C=C1)/C=C/COC(=O)/C=C/C2=CC(=C(C=C2)O)O</t>
  </si>
  <si>
    <t>CC(C)C1=C(C=C2C(=C1)CC[C@@H]3[C@@]2(CCCC3(C)C)C)O</t>
  </si>
  <si>
    <t>C/C(=C\C[C@H]1C(=C)CC[C@@H]2[C@@]1(CCC[C@]2(C)C(=O)O)C)/C=C</t>
  </si>
  <si>
    <t>CC(=CC[C@H]1C(=C)CC[C@@H]2[C@@]1(CCC[C@]2(C)C(=O)O)C)C=C</t>
  </si>
  <si>
    <t>C/C(=C\CC1C(=C)CCC2C1(CCCC2(C)C(=O)O)C)/C=C</t>
  </si>
  <si>
    <t>CC(=CCC1C(=C)CCC2C1(CCCC2(C)C(=O)O)C)C=C</t>
  </si>
  <si>
    <t>CC(=CCC1C(=C)CCC2[C@@]1(CCC[C@]2(C)C(=O)O)C)C=C</t>
  </si>
  <si>
    <t>CC(=CC[C@@H]1C(=C)CC[C@H]2[C@@]1(CCC[C@]2(C)C(=O)O)C)C=C</t>
  </si>
  <si>
    <t>C/C(=C/C[C@H]1C(=C)CC[C@@H]2[C@@]1(CCCC2(C)C(=O)O)C)/C=C</t>
  </si>
  <si>
    <t>C/C(=C\CO)/CC[C@H]1C(=C)CC[C@@H]2[C@@]1(CCC[C@]2(C)C(=O)O)C</t>
  </si>
  <si>
    <t>C[C@@H](CC[C@H]1C(=C)CC[C@@H]2[C@@]1(CCC[C@]2(C)C(=O)O)C)CC(=O)O</t>
  </si>
  <si>
    <t>C1(C(C(C(C(C1O)O)O)O)O)O</t>
  </si>
  <si>
    <t>CC(=C)C=COC(=O)/C=C/C1=CC(=C(C=C1)O)O</t>
  </si>
  <si>
    <t>COC1=CC(=C2C(=O)C[C@H](OC2=C1)C3=CC(=C(C=C3)O)O)O</t>
  </si>
  <si>
    <t>COC1=CC=C(C=C1)[C@@H]2[C@H](C(=O)C3=C(C=C(C=C3O2)O)O)O</t>
  </si>
  <si>
    <t>C(C(=O)O)C(=O)O</t>
  </si>
  <si>
    <t>C(C(=O)O)OCC(=O)O</t>
  </si>
  <si>
    <t>CCCCCCCCCCCC/C=C/C(=O)O</t>
  </si>
  <si>
    <t>CCCCCCCC=CCCCCCCCCC(=O)OC</t>
  </si>
  <si>
    <t>COC1=C(C=CC(=C1)C(CO)O)O</t>
  </si>
  <si>
    <t>C1C[C@H]2C=C[C@@H]1[C@H]3[C@@H]2C(=O)C4=C(C=CC(=C4C3=O)O)O</t>
  </si>
  <si>
    <t>C1=CC(=CC(=C1)O)C(C(=O)O)O</t>
  </si>
  <si>
    <t>COC1=C(C=C(C=C1)CCC(=O)O)OC</t>
  </si>
  <si>
    <t>COC1=C(C2=C(C=C1)[C@@H]3COC4=C([C@@H]3O2)C=CC(=C4)O)OC</t>
  </si>
  <si>
    <t>COC1=C(C2=C(C=C1)C3COC4=C(C3O2)C=CC(=C4)O)OC</t>
  </si>
  <si>
    <t>COC1=C(C2=C(C=C1)C3COC4=C(C3O2)C=CC(=C4)O)O</t>
  </si>
  <si>
    <t>COC1=C(C2=C(C=C1)[C@H]3COC4=C([C@H]3O2)C=CC(=C4)O)O</t>
  </si>
  <si>
    <t>COC1=C(C=CC(=C1)O)CCCC2=CC=C(C=C2)O</t>
  </si>
  <si>
    <t>C[C@H](CCCC(C)C)[C@H]1CC[C@@]2([C@@]1(CC[C@]34[C@H]2CC[C@@H]5[C@]3(C4)CC[C@@H](C5(C)C)O)C)C</t>
  </si>
  <si>
    <t>C[C@H](CC/C=C(\C)/C(=O)O)[C@H]1CC[C@@]2([C@@]1(CC[C@]34[C@H]2CC[C@@H]5[C@]3(C4)CC[C@@H](C5(C)C)O)C)C</t>
  </si>
  <si>
    <t>C[C@H](CC/C=C(\C)/C(=O)O)[C@H]1CC[C@@]2([C@@]1(CC[C@]34[C@H]2CC[C@@H]5[C@]3(C4)CCC(=O)C5(C)C)C)C</t>
  </si>
  <si>
    <t>C[C@H](CC/C=C(\CO)/C(=O)O)[C@H]1CC[C@@]2([C@@]1(CC[C@]34[C@H]2CC[C@@H]5[C@]3(C4)CCC(=O)C5(C)C)C)C</t>
  </si>
  <si>
    <t>C/C(=C\CO)/CC[C@H]1C(=C)CC[C@@H]2[C@@]1(CCC[C@]2(C)CO)C</t>
  </si>
  <si>
    <t>C/C(=C\CO)/CCC1C(=C)CCC2C1(CCCC2(C)CO)C</t>
  </si>
  <si>
    <t>COC(=O)/C=C/C1=CC=C(C=C1)O</t>
  </si>
  <si>
    <t>C1[C@H]([C@H]([C@@H](C[C@@]1(C(=O)O)O)OC(=O)/C=C/C2=CC(=C(C=C2)O)O)O)O</t>
  </si>
  <si>
    <t>C1[C@@H]([C@H](OC2=CC(=CC(=C21)O)O)C3=CC(=C(C=C3)O)O)O</t>
  </si>
  <si>
    <t>COC1=C(C=C(C=C1)[C@@H]2CC(=O)C3=C(C=C(C=C3O2)O)O)O</t>
  </si>
  <si>
    <t>C[C@]1(CC[C@H]2C(=C1)CC[C@@H]3[C@@]2(CCC[C@@]3(C)C(=O)O)C)C=C</t>
  </si>
  <si>
    <t>CC1=CC(=C(C=C1)C(C)C)O</t>
  </si>
  <si>
    <t>CC(=CCOC(=O)/C=C/C1=CC(=C(C=C1)O)O)C</t>
  </si>
  <si>
    <t>CC(C)CCOC(=O)/C=C/C1=CC(=C(C=C1)O)O</t>
  </si>
  <si>
    <t>C1=CC(=CC=C1CCO)O</t>
  </si>
  <si>
    <t>CC(=CCC1=CC(=CC(=C1O)CC=C(C)C)/C=C/C(=O)O)C</t>
  </si>
  <si>
    <t>C1=CC(=CC=C1C(=O)O)O</t>
  </si>
  <si>
    <t>C1=CC(=CC=C1C(=O)O)[O-]</t>
  </si>
  <si>
    <t>C1=CC(=C(C(=C1)O)O)C(=O)O</t>
  </si>
  <si>
    <t>CCCCCCCCCCCCCCCCCCCCCC(=O)O</t>
  </si>
  <si>
    <t>CCCCCCCCCCCCCCCC1=C(C(=CC=C1)O)C(=O)O</t>
  </si>
  <si>
    <t>CC1=C(C=C(C=C1)C(C)C)O</t>
  </si>
  <si>
    <t>CCCCCCCCCCCCC</t>
  </si>
  <si>
    <t>CCCCC/C=C/C=C/C=O</t>
  </si>
  <si>
    <t>CC1(C2CCC(C2)C1=C)C</t>
  </si>
  <si>
    <t>CC(=CCC/C(=C/CCC(C)(C=C)O)/C)C</t>
  </si>
  <si>
    <t>C/C/1=C\CC/C(=C/C[C@H](CC1)C(=C)C)/C</t>
  </si>
  <si>
    <t>C/C/1=C\CC/C(=C/C[C@@H](CC1)C(=C)C)/C</t>
  </si>
  <si>
    <t>C[C@@]1(CC[C@@H]2[C@@H]1[C@H]3[C@H](C3(C)C)CCC2=C)O</t>
  </si>
  <si>
    <t>C[C@@H]1CC[C@@H]2[C@]13CC[C@@]([C@H](C3)C2(C)C)(C)O</t>
  </si>
  <si>
    <t>C[C@@H]1CC[C@@H]2[C@@H](C2(C)C)C3=C(CC[C@H]13)C</t>
  </si>
  <si>
    <t>CCOC(=O)CCC(=O)O[Si](C)(C)C</t>
  </si>
  <si>
    <t>CC(=O)C1=CC=CC=C1</t>
  </si>
  <si>
    <t>C(C(C(=O)O)O)C(=O)O</t>
  </si>
  <si>
    <t>CCCCCCCCCCCCCCCCCCCCCCCCCCCCCCCCCCCCCCCCCCCCCCCCCCCCCCCCCCCCCCCCCCCCC(=O)O</t>
  </si>
  <si>
    <t>C([C@@H]1[C@H]([C@@H]([C@@H](C(O1)O)O)O)O)O</t>
  </si>
  <si>
    <t>C/C=C/1\CN2COCC3(C1CC(=O)C4=C(CC32)C5=CC=CC=C5N4)C(=O)OC</t>
  </si>
  <si>
    <t>CC(C)CCCCCOC(=O)C1=CC=CC=C1C(=O)OCCCCCC(C)C</t>
  </si>
  <si>
    <t>CCCCCCCCCCCCCCCCCCCCCC</t>
  </si>
  <si>
    <t>CCCCCCCCCCCCCCCCCC</t>
  </si>
  <si>
    <t>C1CCCCCCCCCCCCCCCCCCCCCCC1</t>
  </si>
  <si>
    <t>CN[C@H]1CCC2=CC(=C(C(=C2C3=CC=C(C(=O)C=C13)OC)OC)OC)OC</t>
  </si>
  <si>
    <t>CCCCCCCCCCCCCCCC/C=C/CCCCCCCC</t>
  </si>
  <si>
    <t>C1=CC=C2C=CC=CC2=C1</t>
  </si>
  <si>
    <t>CC1=C(C(=O)N(N1C)C2=CC=CC=C2)NC(=O)C3=CN=CC=C3</t>
  </si>
  <si>
    <t>COC1=C(C=C(C=C1)CC2=NC=CC3=CC(=C(C=C32)OC)OC)OC</t>
  </si>
  <si>
    <t>CC[C@]12CCCN3[C@H]1[C@@]4(CC3)[C@@H](CC2)NC5=CC=CC=C45</t>
  </si>
  <si>
    <t>CCC12CCCN3C1C4(CC3)C(CC2)NC5=CC=CC=C45</t>
  </si>
  <si>
    <t>C=CCC1(C(=O)NC(=O)NC1=O)CC(=C)Br</t>
  </si>
  <si>
    <t>CCC1(C(=O)NC(=O)NC1=O)C2=CCCCC2</t>
  </si>
  <si>
    <t>C([C@@H]1[C@@H]([C@@H]([C@@H](C(O1)O)O)O)O)O</t>
  </si>
  <si>
    <t>CC(=O)NC1=CC2=C(C=C1)N(C(=O)S2)CC=C</t>
  </si>
  <si>
    <t>C1CC(=O)C[C@@]23[C@@H]1[C@@H](CC4=C2C=CC(=C4)O)NCC3</t>
  </si>
  <si>
    <t>C1CC(=O)CC23C1C(CC4=C2C=CC(=C4)O)NCC3</t>
  </si>
  <si>
    <t>C1=CC2=C3C(=C1)C(=O)NC4=CC=CC(=C43)C=C2</t>
  </si>
  <si>
    <t>C1COCCN1C(=S)C2=CC=CC=C2</t>
  </si>
  <si>
    <t>CC(C)C1=CC2=CC[C@@H]3[C@@]([C@H]2CC1)(CCC[C@@]3(C)C(=O)O)C</t>
  </si>
  <si>
    <t>C(CCCCCCCC(=O)O)CCCCCCC(=O)O</t>
  </si>
  <si>
    <t>C1=CC(=C(C(=C1C(=O)O)O)O)O</t>
  </si>
  <si>
    <t>CC1=CC2=C(C(=C1)O)C(=O)C3=C(C2=O)C=C(C=C3OC)O</t>
  </si>
  <si>
    <t>C(=C/C(=O)O)\C(=O)O</t>
  </si>
  <si>
    <t>CCCC</t>
  </si>
  <si>
    <t>C([C@H](C([C@H](CO)O)O)O)O</t>
  </si>
  <si>
    <t>C1=CC=C(C=C1)C2=C(NN=C2C3=CC=CC=C3)C4=CC=CC=C4</t>
  </si>
  <si>
    <t>C([C@@H]([C@@H]([C@H]([C@@H](C(=O)O)O)O)O)O)O</t>
  </si>
  <si>
    <t>CCCCCC/C=C\CCCCCCCCCC(=O)O</t>
  </si>
  <si>
    <t>COC(=O)C1=C(C(=C(N=C1Cl)Cl)[N+](=O)[O-])Cl</t>
  </si>
  <si>
    <t>COC1=CC=C(C=C1)C2=NC=C3C(=N2)C=CC4=CC=CC=C43</t>
  </si>
  <si>
    <t>CC1=CC=C(C=C1)N2C(=O)C3=CC=CC=C3C2=O</t>
  </si>
  <si>
    <t>C[C@]12CCCCC1=CC[C@@H]3[C@@H]2CC[C@]4([C@H]3CCC4=O)C</t>
  </si>
  <si>
    <t>CC12CCCCC1=CCC3C2CCC4(C3CCC4=O)C</t>
  </si>
  <si>
    <t>CCCCCCCCCCCCCCCCOCC(CO)O</t>
  </si>
  <si>
    <t>C1C[C@H](NC1)C(=O)O</t>
  </si>
  <si>
    <t>C(CCC(=O)O)CC(=O)O</t>
  </si>
  <si>
    <t>C([C@H]([C@H]([C@H]([C@@H](C(=O)CO)O)O)O)O)O</t>
  </si>
  <si>
    <t>C(C(C(C(C(C(=O)CO)O)O)O)O)O</t>
  </si>
  <si>
    <t>C1=CC=C2C=C3C(=CC2=C1)C(=O)C4=CC5=CC=CC=C5C=C4C3=O</t>
  </si>
  <si>
    <t>COC1=C(C(=C2C=NC=CC2=C1)OC)OC</t>
  </si>
  <si>
    <t>CCCC(=O)O</t>
  </si>
  <si>
    <t>COC1=C(C=C(C=C1)/C=C\C(=O)O)OC</t>
  </si>
  <si>
    <t>C([C@H]([C@H]([C@@H]([C@H](C(=O)O)O)O)O)O)O</t>
  </si>
  <si>
    <t>CN1CC[C@]23[C@@H]4C(=CC=C2[C@H]1CC5=C3C(=C(C=C5)OC)O4)OC</t>
  </si>
  <si>
    <t>CCC(=O)O</t>
  </si>
  <si>
    <t>CC1=CC=CC=C1C(=O)O</t>
  </si>
  <si>
    <t>CCN(CC)C1=CC=C(C=C1)/C=C/2\C(=O)NC(=S)S2</t>
  </si>
  <si>
    <t>C(C(C(C(=O)O)O)O)O</t>
  </si>
  <si>
    <t>C1[C@H]([C@@H]([C@@H](C(O1)O)O)O)O</t>
  </si>
  <si>
    <t>C1[C@H]([C@@H]([C@H](C(O1)O)O)O)O</t>
  </si>
  <si>
    <t>C[C@@H]([C@H]([C@H]([C@@H](C=O)O)O)O)O</t>
  </si>
  <si>
    <t>C[C@@H]([C@H]([C@@H]([C@@H](C=O)O)O)O)O</t>
  </si>
  <si>
    <t>C1COCCN1</t>
  </si>
  <si>
    <t>C1=C(C=C(C(=C1O)C(=O)O)O)O</t>
  </si>
  <si>
    <t>COC1=C(C=C2C(=C1)C=CC(=O)O2)O[C@H]3[C@@H]([C@H]([C@@H]([C@H](O3)CO)O)O)O</t>
  </si>
  <si>
    <t>CCCCC1=NC=CC2=CC=CC=C21</t>
  </si>
  <si>
    <t>CCC1=C(N=NC2=CC=CC=C21)C</t>
  </si>
  <si>
    <t>COC1=CC=CC(=C1)C(=O)O</t>
  </si>
  <si>
    <t>CC(=O)C1=CN=CN1</t>
  </si>
  <si>
    <t>C=CCC1=CC=CC2=C1OC(=O)C(=C2)C(=O)OC3CCCCC3</t>
  </si>
  <si>
    <t>COC1=C(C2=C(CC3C4C2(CCN3)CC(=O)CC4)C=C1)OC</t>
  </si>
  <si>
    <t>C([C@H]1[C@@H]([C@H]([C@H](C(O1)O)O)O)O)O</t>
  </si>
  <si>
    <t>C1=CC=C2C(=C1)C=CC3=CC=CC=C3N2C(=O)N</t>
  </si>
  <si>
    <t>C1=CC(=CC=C1C(C(=O)O)O)O</t>
  </si>
  <si>
    <t>C1=CC=C2C=C3C(=CC2=C1)C(=NC=N3)N</t>
  </si>
  <si>
    <t>C1=CC(=C(C=C1/C=C/C(=O)O)O)O[C@H]2[C@@H]([C@H]([C@@H]([C@H](O2)CO)O)O)O</t>
  </si>
  <si>
    <t>C1=CC(=C(C=C1/C=C/C(=O)O)O)O[C@@H]2[C@@H]([C@H]([C@@H]([C@H](O2)CO)O)O)O</t>
  </si>
  <si>
    <t>C1=CC(=C(C=C1/C=C/C(=O)O)O)OC2C(C(C(C(O2)CO)O)O)O</t>
  </si>
  <si>
    <t>C1[C@H]([C@@H]([C@@H](C[C@]1(C(=O)O)O)OC(=O)/C=C/C2=CC(=C(C=C2)O)O)O)O</t>
  </si>
  <si>
    <t>C1=CC(=CC=C1CCC(=O)O)O</t>
  </si>
  <si>
    <t>C[C@]12CC[C@@H]([C@@]([C@@H]1CC[C@@]3([C@@H]2CC=C4[C@]3(CC[C@@]5([C@H]4CC(CC5)(C)C)C(=O)O)C)C)(C)COS(=O)(=O)O)O</t>
  </si>
  <si>
    <t>CCCCCCCCCCCCCCCC(CC(=O)O)O</t>
  </si>
  <si>
    <t>C[C@H](CC/C=C(\C)/C(=O)O)[C@H]1CC[C@@]2([C@@]1(CC[C@]34[C@H]2CC[C@@H]5[C@]3(C4)CC[C@H](C5(C)C)O)C)C</t>
  </si>
  <si>
    <t>CC(CCC(=C)C(C)C(=O)O)C1CCC2(C1(CCC34C2CCC5C3(C4)CCC(C5(C)C)O)C)C</t>
  </si>
  <si>
    <t>CC(=CCCC(=C)[C@H]1CC[C@@]2([C@@H]1CC[C@H]3[C@]2(CC[C@@H]4[C@@]3(CC[C@@H](C4(C)C)O)C)C)C)C</t>
  </si>
  <si>
    <t>CCCCCCCCCCCCCCCCCCCCCCCC=C</t>
  </si>
  <si>
    <t>CCCCCCCCCCCCCCCCCCCCCCCCC=C</t>
  </si>
  <si>
    <t>CCCCCCCCCCCCCCCCCCCCCCCCCC=C</t>
  </si>
  <si>
    <t>CCCCCCCCCCCCCCCCCCCCCCCCCCC=C</t>
  </si>
  <si>
    <t>CCCCCCCCCCCCCCCCCCCCCCCCCCCC=C</t>
  </si>
  <si>
    <t>CCCCCCCCCCCCCCCCCCCCCCCCCCCCCC=C</t>
  </si>
  <si>
    <t>CCCCCCCCCCCCCCCCCCCCCCCCCCCCCCCC=C</t>
  </si>
  <si>
    <t>CCCCCCCCCCCCCCCCCCCCCCCCCCCCCCCCCC=C</t>
  </si>
  <si>
    <t>CCCCCCCCCCCCCCCCCCCCCCCCC</t>
  </si>
  <si>
    <t>CCCCCCCCCCCCCCCCCCCCCCCCCC</t>
  </si>
  <si>
    <t>CCCCCCCCCCCCCCCCCCCCCCCCCCCCC</t>
  </si>
  <si>
    <t>CCCCCCCCCCCCCCCCCCCCCCCCCCCCCCC</t>
  </si>
  <si>
    <t>CCCCCCCCCCCCCCCCCCOC(=O)CCCCCCCCCCCCCCC</t>
  </si>
  <si>
    <t>CCCCCCCCCCCCCCCCCCCCOC(=O)CCCCCCCCCCCCCCC</t>
  </si>
  <si>
    <t>CCCCCCCCCCCCCCCCCCO</t>
  </si>
  <si>
    <t>CCCCCCCCCCCCCCCCCCCCO</t>
  </si>
  <si>
    <t>CCCCCCCCCCCCCCCCCCCCCCO</t>
  </si>
  <si>
    <t>CCCCCCCCCCCCCCCCCCCCCCCCO</t>
  </si>
  <si>
    <t>CCCCCCCCCCCCCCCCCCCCCCCCCCO</t>
  </si>
  <si>
    <t>CCCCCCCCCCCCCCCCCCCCCCCCCCCCO</t>
  </si>
  <si>
    <t>CCCCCCCCCCCCCCCCCCCCCCCCCCCCCCO</t>
  </si>
  <si>
    <t>CCCCCCCCCCCCCCCCCCCCCCCCCCCCCCCCO</t>
  </si>
  <si>
    <t>CCCCCCCCCCCC(=O)OC</t>
  </si>
  <si>
    <t>CCCCCCCCCCCCCCC/C=C/C(=O)OC</t>
  </si>
  <si>
    <t>CCCCCCCCCCCCCCCCCCCCCCCC(=O)OC</t>
  </si>
  <si>
    <t>CCCCCCCCCCCCCCCCCCCCCCCCCC(=O)OC</t>
  </si>
  <si>
    <t>CCCCCCCCCCCCCCCCCCCCCCCCCCCC(=O)OC</t>
  </si>
  <si>
    <t>CCCCCCCCCCCCCCCCCCCCCCCCCCCCCCCC(=O)OC</t>
  </si>
  <si>
    <t>CCCCCCCCCCCCCCCCCCCCC</t>
  </si>
  <si>
    <t>CCCCCCCCCCCCCCCCCCCCCCCCCCCCCC</t>
  </si>
  <si>
    <t>CC1CCC2(CCC3(C(=CCC4C3(CCC5C4(CCC(=O)C5(C)C)C)C)C2C1C)C)C</t>
  </si>
  <si>
    <t>CC1=CCC(CC1)C(C)C</t>
  </si>
  <si>
    <t>CC1=CC=C(C=C1)C(=C)C</t>
  </si>
  <si>
    <t>CC(CCC=C(C)C)C=O</t>
  </si>
  <si>
    <t>C[C@]1(CC[C@@H](O1)C(C)(C)O)C=C</t>
  </si>
  <si>
    <t>CC(=CCCC(C)(C=C)O)C</t>
  </si>
  <si>
    <t>CC(=C)[C@H]1CC[C@@](C=C1)(C)O</t>
  </si>
  <si>
    <t>CC(=C)[C@@H]1CC[C@@](C=C1)(C)O</t>
  </si>
  <si>
    <t>CC(=C)C1CCC(C=C1)(C)O</t>
  </si>
  <si>
    <t>CC1(C2CCC1(C(C2)O)C)C</t>
  </si>
  <si>
    <t>C[C@@]12CC[C@@H](C1(C)C)C[C@@H]2O</t>
  </si>
  <si>
    <t>C[C@]12CC[C@H](C1(C)C)C[C@H]2O</t>
  </si>
  <si>
    <t>C[C@@]12CC[C@H](C1(C)C)C[C@@H]2O</t>
  </si>
  <si>
    <t>C[C@@]12CC[C@@H](C1(C)C)CC2O</t>
  </si>
  <si>
    <t>CC1([C@@H]2CCC1([C@H](C2)O)C)C</t>
  </si>
  <si>
    <t>C[C@]12CC[C@@H](C1(C)C)C[C@H]2O</t>
  </si>
  <si>
    <t>CC1(C2CCC1([C@@H](C2)O)C)C</t>
  </si>
  <si>
    <t>CC1=CC=C(C=C1)C(C)(C)O</t>
  </si>
  <si>
    <t>CC1=CC(=O)C2CC1C2(C)C</t>
  </si>
  <si>
    <t>CC1=CC(=O)[C@@H]2C[C@H]1C2(C)C</t>
  </si>
  <si>
    <t>CC1=CC(=O)[C@H]2C[C@@H]1C2(C)C</t>
  </si>
  <si>
    <t>CC1=CC(=O)[C@@H]2C[C@@H]1C2(C)C</t>
  </si>
  <si>
    <t>CC(=CCC/C(=C\C=O)/C)C</t>
  </si>
  <si>
    <t>CC(=CCC/C(=C/CO)/C)C</t>
  </si>
  <si>
    <t>CC1=CC(=O)C(CC1)C(C)C</t>
  </si>
  <si>
    <t>CC(=CCC/C(=C/C=O)/C)C</t>
  </si>
  <si>
    <t>CC1=CC(=O)C(=C(C)C)CC1</t>
  </si>
  <si>
    <t>C/C/1=C\CCC(=C)[C@@H]2CC([C@@H]2CC1)(C)C</t>
  </si>
  <si>
    <t>C[C@@H]1CCC2=C(CC[C@@H]3[C@H]([C@H]12)C3(C)C)C</t>
  </si>
  <si>
    <t>C[C@H]1CC[C@@H](C2=C1C=CC(=C2)C)C(C)C</t>
  </si>
  <si>
    <t>CC1=CC2=C(C=CC(=C2C=C1)C)C(C)C</t>
  </si>
  <si>
    <t>CC1CCC2C13CCC(=CC3OC2(C)C)C</t>
  </si>
  <si>
    <t>C[C@@H]1CC[C@H]2[C@@H]1[C@H]3[C@H](C3(C)C)CC[C@@]2(C)O</t>
  </si>
  <si>
    <t>C[C@H]1CC[C@@H]2[C@H]1[C@@H]3[C@@H](C3(C)C)CC[C@]2(C)O</t>
  </si>
  <si>
    <t>C[C@H]1CCC2C1C3C(C3(C)C)CC[C@]2(C)O</t>
  </si>
  <si>
    <t>C[C@@H]1CCC2C1[C@H]3[C@H](C3(C)C)CC[C@@]2(C)O</t>
  </si>
  <si>
    <t>CC1CCC2C1C3C(C3(C)C)CCC2(C)O</t>
  </si>
  <si>
    <t>CC1CCC2C1C3C(C3(C)C)CC[C@@]2(C)O</t>
  </si>
  <si>
    <t>C[C@@H]1CC[C@@H]2[C@H]1[C@H]3[C@@H](C3(C)C)CC[C@]2(C)O</t>
  </si>
  <si>
    <t>C[C@@]12CCC[C@@](C1)(C3CC(C3CC2)(C)C)O</t>
  </si>
  <si>
    <t>C[C@@H]1CC[C@H]([C@H]([C@@]12CCC(=C2)C)O)C(C)C</t>
  </si>
  <si>
    <t>CCCCC(=O)OCCC(C)CCC=C(C)C</t>
  </si>
  <si>
    <t>CC1CCC(C2C1(CCC(=C2)C)O)C(C)C</t>
  </si>
  <si>
    <t>C[C@H]1CC[C@@H]([C@@H]2[C@]1(CCC(=C2)C)O)C(C)C</t>
  </si>
  <si>
    <t>C[C@H]1CCC=C([C@]12CC[C@H](C2)C(C)(C)O)C</t>
  </si>
  <si>
    <t>CC1CCC=C(C12CCC(C2)C(C)(C)O)C</t>
  </si>
  <si>
    <t>CC1CCC=C([C@]12CC[C@@H](C2)C(C)(C)O)C</t>
  </si>
  <si>
    <t>C[C@@H]1CCC=C([C@@]12CC[C@@H](C2)C(C)(C)O)C</t>
  </si>
  <si>
    <t>CC1CCC=C([C@]12CCC(C2)C(C)(C)O)C</t>
  </si>
  <si>
    <t>C/C=C/C1=CC=C(C=C1)OC</t>
  </si>
  <si>
    <t>C/C=C\C1=CC=C(C=C1)OC</t>
  </si>
  <si>
    <t>C/C=C/C1=CC(=C(C=C1)O)OC</t>
  </si>
  <si>
    <t>C/C=C\C1=CC(=C(C=C1)OC)OC</t>
  </si>
  <si>
    <t>CC1CCCC1=O</t>
  </si>
  <si>
    <t>CC(=CCCC(=O)C)C</t>
  </si>
  <si>
    <t>CC(CCC=C(C)C)O</t>
  </si>
  <si>
    <t>C1=CC=C(C=C1)CO</t>
  </si>
  <si>
    <t>COC1=CC=CC=C1O</t>
  </si>
  <si>
    <t>CC(=C/C=C/C(=O)C)C</t>
  </si>
  <si>
    <t>C1=CC=C(C=C1)CCO</t>
  </si>
  <si>
    <t>C1=CC=C(C=C1)/C=C/C=O</t>
  </si>
  <si>
    <t>CCCCCCCCCCCCCCCC(=O)C</t>
  </si>
  <si>
    <t>CCCCCCCCCCCCCCCCCC(=O)C</t>
  </si>
  <si>
    <t>CCCCCCCCCCCCCCCCCCCC(=O)C</t>
  </si>
  <si>
    <t>CCCCCC(=O)O</t>
  </si>
  <si>
    <t>CCCCCCC(=O)O</t>
  </si>
  <si>
    <t>CCCCCCCC(=O)O</t>
  </si>
  <si>
    <t>CCCCCCCCC(=O)O</t>
  </si>
  <si>
    <t>COC1=CC=CC=C1C(=O)OC</t>
  </si>
  <si>
    <t>COC(=O)/C=C/C1=CC=CC=C1</t>
  </si>
  <si>
    <t>CCCCCCCCCC(=O)O</t>
  </si>
  <si>
    <t>C1=CC=C(C=C1)COC(=O)C2=CC=CC=C2</t>
  </si>
  <si>
    <t>C1=CC=C(C=C1)COC(=O)C2=CC=CC=C2O</t>
  </si>
  <si>
    <t>CCCCCCCCCCCC</t>
  </si>
  <si>
    <t>CCCCCCCCCCCCCC</t>
  </si>
  <si>
    <t>CCCCCCCCCCCCCCCCC</t>
  </si>
  <si>
    <t>CCCCOC(=O)/C=C/C1=CC(=C(C=C1)O)O</t>
  </si>
  <si>
    <t>CC(=C)CCOC(=O)/C=C/C1=CC(=C(C=C1)O)O</t>
  </si>
  <si>
    <t>COC1=C(C=CC(=C1)C=O)O</t>
  </si>
  <si>
    <t>COC1=CC(=CC(=C1O)OC)/C=C/C(=O)O</t>
  </si>
  <si>
    <t>COC1=C(C=CC(=C1)C2=C(C(=O)C3=C(C=C(C=C3O2)O)O)O)O</t>
  </si>
  <si>
    <t>C1=CC(=C(C=C1C(=O)O)O)O</t>
  </si>
  <si>
    <t>C1=C(C=C(C(=C1O)O)O)C(=O)O</t>
  </si>
  <si>
    <t>COC1=C(C=C(C=C1)C=C)OC</t>
  </si>
  <si>
    <t>CC1=CC=C(C=C1)C(C)CCC=C(C)C</t>
  </si>
  <si>
    <t>C1=CC=C(C=C1)C=O</t>
  </si>
  <si>
    <t>C[C@H]1CC[C@H](CC2=C1CC[C@@H]2C)C(C)(C)O</t>
  </si>
  <si>
    <t>CC1=CC=CC=C1C</t>
  </si>
  <si>
    <t>C1=CC=C(C=C1)CCCO</t>
  </si>
  <si>
    <t>CC1=C[C@H]2[C@@H](CCC(=C2CC1)C)C(C)C</t>
  </si>
  <si>
    <t>C1=CC=C(C=C1)/C=C/CO</t>
  </si>
  <si>
    <t>CC(=CCC1C(O1)(C)C2(C(C(=O)CCC2(C)O)OC)O)C</t>
  </si>
  <si>
    <t>CC1=CC=C(C=C1)C</t>
  </si>
  <si>
    <t>CCCCCCCC=O</t>
  </si>
  <si>
    <t>CCCCCCCCCC=O</t>
  </si>
  <si>
    <t>CCCCCCCCC=O</t>
  </si>
  <si>
    <t>C[C@@H]1CC[C@@H]2[C@]13CC=C([C@H](C3)C2(C)C)C</t>
  </si>
  <si>
    <t>C[C@@H]1CC[C@@H]2[C@]13CC=C(C(C3)C2(C)C)C</t>
  </si>
  <si>
    <t>CC1CCC2C13CC=C(C(C3)C2(C)C)C</t>
  </si>
  <si>
    <t>C[C@@H]1CC[C@@H]2[C@@]13CC=C([C@H](C3)C2(C)C)C</t>
  </si>
  <si>
    <t>C1=NNC(=C1Br)C(=O)O</t>
  </si>
  <si>
    <t>C1=CC(=C(C(=C1)O)O)O</t>
  </si>
  <si>
    <t>C1=C2C3=C(C(=C1O)O)OC(=O)C4=CC(=C(C(=C43)OC2=O)O)O</t>
  </si>
  <si>
    <t>C1=CC(=C(C=C1C[C@H](C(=O)O)OC(=O)/C=C/C2=CC(=C(C=C2)O)O)O)O</t>
  </si>
  <si>
    <t>C[C@H]1[C@@H]([C@H]([C@H]([C@@H](O1)OC[C@@H]2[C@H]([C@@H]([C@H]([C@@H](O2)OC3=C(OC4=CC(=CC(=C4C3=O)O)O)C5=CC(=C(C=C5)O)O)O)O)O)O)O)O.O</t>
  </si>
  <si>
    <t>C1=CC(=C(C=C1C2=CC(=O)C3=C(C=C(C=C3O2)O)O)O)O</t>
  </si>
  <si>
    <t>COC1=C(C=C(C=C1)/C=C/C(=O)O)OC</t>
  </si>
  <si>
    <t>CC1=CC[C@@H](CC1)C(=C)C</t>
  </si>
  <si>
    <t>C[C@@H]1CC[C@@H]2[C@]13CCC(=C)[C@H](C3)C2(C)C</t>
  </si>
  <si>
    <t>CC1=CC[C@@H](CC1)[C@@](C)(CCC=C(C)C)O</t>
  </si>
  <si>
    <t>CC1=CCC(CC1)C(C)(CCC=C(C)C)O</t>
  </si>
  <si>
    <t>CC1=CC[C@H](CC1)[C@](C)(CCC=C(C)C)O</t>
  </si>
  <si>
    <t>CC1=CC[C@@H](CC1)[C@](C)(CCC=C(C)C)O</t>
  </si>
  <si>
    <t>C([C@@H]1[C@H]([C@@H]([C@H](C(=O)O1)O)O)O)O</t>
  </si>
  <si>
    <t>CC(=CCC1=C(C=CC(=C1)/C=C/C(=O)O)O)C</t>
  </si>
  <si>
    <t>CC(=CCC1=C(C(=CC(=C1)/C=C/C(=O)O)C/C=C(\C)/CO)O)C</t>
  </si>
  <si>
    <t>B(C1=CC=C(C=C1)Br)(O)O</t>
  </si>
  <si>
    <t>C1=CC=C(C=C1)C2=C(C(=O)C3=C(C=CC=C3O2)O)O</t>
  </si>
  <si>
    <t>C1=CC(=CC=C1[C@@H]2[C@H](C(=O)C3=C(O2)C=C(C=C3)O)O)O</t>
  </si>
  <si>
    <t>CC/C=C\C/C=C\C/C=C\CCCCCCC(C(=O)O)O</t>
  </si>
  <si>
    <t>C1=CC(=CC=C1C2=COC3=C(C2=O)C=CC(=C3)O)O</t>
  </si>
  <si>
    <t>CC(=CCC/C(=C/CC1=C(C2=C(C=C1O)O[C@@H](CC2=O)C3=CC(=C(C=C3)O)O)O)/C)C</t>
  </si>
  <si>
    <t>COC1=C(C=C(C=C1)C=CC(=O)O)OC</t>
  </si>
  <si>
    <t>COC1=C(C=CC(=C1)C(=O)O)O</t>
  </si>
  <si>
    <t>COC1=CC(=CC(=C1O)OC)C(=O)O</t>
  </si>
  <si>
    <t>C1=CC(=CC2=C1C=CC(=O)O2)O</t>
  </si>
  <si>
    <t>C1=C(C=C(C(=C1O)O)O)C2=C(C(=O)C3=C(C=C(C=C3O2)O)O)O</t>
  </si>
  <si>
    <t>COC1=C(C=CC(=C1)/C=C/C(=O)CC(=O)/C=C/C2=CC(=C(C=C2)O)OC)O</t>
  </si>
  <si>
    <t>CCCCCCCCCCCCC/C=C/C=C/C(=O)O</t>
  </si>
  <si>
    <t>C([C@H]([C@@H]1[C@@H]([C@H](C(O1)O)O)O)O)O</t>
  </si>
  <si>
    <t>C1=CC=C(C=C1)C2=NNC(=NC3=CC=CC=C32)N</t>
  </si>
  <si>
    <t>C1=C(C=C(C=C1O)O)CO</t>
  </si>
  <si>
    <t>CC1CCC2=CC=CC=C12</t>
  </si>
  <si>
    <t>CCOP(=O)(OCC)SCS(=O)(=O)CC</t>
  </si>
  <si>
    <t>C1(=C(C(=C(C(=C1Cl)Cl)Cl)Cl)Cl)N</t>
  </si>
  <si>
    <t>CC1=CC(=O)NC(=S)N1</t>
  </si>
  <si>
    <t>CC1=CC=C(C=C1)N</t>
  </si>
  <si>
    <t>C1=CC=C(C=C1)/C=C/C(=O)C2=CC=CC=C2</t>
  </si>
  <si>
    <t>CC(C)(C)NCC(C1=CC(=C(C=C1)O)CO)O</t>
  </si>
  <si>
    <t>COC1=CC=CC=C1OCC(CO)O</t>
  </si>
  <si>
    <t>C1=CC=C(C=C1)C=CCOC(=O)/C=C/C2=CC(=C(C=C2)O)O</t>
  </si>
  <si>
    <t>COC1=CC=C(C=C1)/C=C/C(=O)O</t>
  </si>
  <si>
    <t>COC1=CC(=CC2=C1C(=O)C[C@H](O2)C3=CC=CC=C3)O</t>
  </si>
  <si>
    <t>C1=CC=C(C=C1)/C=C/C=C/C(=O)O</t>
  </si>
  <si>
    <t>C1=CC=C(C=C1)/C=C/COC(=O)/C=C/C2=CC=CC=C2</t>
  </si>
  <si>
    <t>COC1=CC=C(C=C1)/C=C/COC(=O)/C=C/C2=CC=CC=C2</t>
  </si>
  <si>
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</si>
  <si>
    <t>C1=CC=C(C(=C1)C(=O)O)O</t>
  </si>
  <si>
    <t>C[C@]12CCCC(=C)[C@@H]1C[C@@H](CC2)C(C)(C)O</t>
  </si>
  <si>
    <t>CC1CCC2=C(CCC(CC12)C(C)(C)O)C</t>
  </si>
  <si>
    <t>C[C@H]1CCC2=C(CC[C@H](C[C@@H]12)C(C)(C)O)C</t>
  </si>
  <si>
    <t>C[C@H]1CCC2=C(CC[C@@H](C[C@H]12)C(C)(C)O)C</t>
  </si>
  <si>
    <t>CC1CCC2(C1CC3CCC2(OC3(C)C)C)O</t>
  </si>
  <si>
    <t>C[C@]12CCC[C@@]([C@@H]1C[C@@H](CC2)C(C)(C)O)(C)O</t>
  </si>
  <si>
    <t>CCCCCCCC/C=C/CCCCCCCC(=O)OCC</t>
  </si>
  <si>
    <t>CCCCCCCCCCCCCCCCCC(=O)OCC</t>
  </si>
  <si>
    <t>CCCCCC/C=C\CCCCCCCC(=O)OCC</t>
  </si>
  <si>
    <t>CCCCCC/C=C/CCCCCCCC(=O)OCC</t>
  </si>
  <si>
    <t>COC1=CC(=C2C(=O)C[C@H](OC2=C1)C3=CC=C(C=C3)O)O</t>
  </si>
  <si>
    <t>COC1=C(OC2=CC(=CC(=C2C1=O)O)O)C3=CC(=C(C=C3)O)O</t>
  </si>
  <si>
    <t>COC1=CC=C(C=C1)C2=C(C(=O)C3=C(C=C(C=C3O2)O)O)O</t>
  </si>
  <si>
    <t>CC(=CCOC(=O)/C=C/C1=CC=C(C=C1)O)C</t>
  </si>
  <si>
    <t>C1=CC=C(C=C1)C=CCOC(=O)/C=C/C2=CC=C(C=C2)O</t>
  </si>
  <si>
    <t>C1=CC(=C(C=C1C2=C(C(=O)C3=C(C=C(C=C3O2)O)O)O)O)O.O.O</t>
  </si>
  <si>
    <t>CCCCCCCCOC(=O)C1=CC=CC=C1C(=O)OCCCC</t>
  </si>
  <si>
    <t>CCCCCCCC/C=C\CCCCCCCC(=O)N</t>
  </si>
  <si>
    <t>CCCCCCCCCCCC(=O)O</t>
  </si>
  <si>
    <t>CC1=C(C=CC(=C1)O)C(=O)C</t>
  </si>
  <si>
    <t>CC1=CC(=C(C=C1)O)C=O</t>
  </si>
  <si>
    <t>COC1=C(C=CC(=C1)/C=C/C(=O)OC)O</t>
  </si>
  <si>
    <t>CC1=CC(=C(C(=C1)O)C)C</t>
  </si>
  <si>
    <t>CCCCCCCCCC(CC(=O)O)O</t>
  </si>
  <si>
    <t>COC(=O)CN</t>
  </si>
  <si>
    <t>C1=CC(=C(C=C1O)C(=O)O)O</t>
  </si>
  <si>
    <t>C/C/1=C\CC/C(=C/C/C=C(\C=C\C(CC1)C(C)C)/C)/C</t>
  </si>
  <si>
    <t>C/C/1=C/CC/C(=C\C/C=C(\C=C/C(CC1)C(C)C)/C)/C</t>
  </si>
  <si>
    <t>C/C/1=C/CC/C(=C/C/C=C(\C=C\C(CC1)C(C)C)/C)/C</t>
  </si>
  <si>
    <t>C/C/1=C\CC/C(=C/C/C=C(\C=C\[C@@H](CC1)C(C)C)/C)/C</t>
  </si>
  <si>
    <t>C/C/1=C/CC/C(=C\C/C=C(\C=C/[C@H](CC1)C(C)C)/C)/C</t>
  </si>
  <si>
    <t>C/C/1=C/CC/C(=C\C/C=C(\C=C/[C@@H](CC1)C(C)C)/C)/C</t>
  </si>
  <si>
    <t>C/C/1=C/CC/C(=C/C/C=C(\C=C\[C@@H](CC1)C(C)C)/C)/C</t>
  </si>
  <si>
    <t>C1=CC(=O)OC2=CC3=C(C=CO3)C=C21</t>
  </si>
  <si>
    <t>C1=CC2=C(C=CO2)C3=C1C=CC(=O)O3</t>
  </si>
  <si>
    <t>C1=CC(=C(C=C1O)O)C=O</t>
  </si>
  <si>
    <t>CCC(C)CCCCCCCCCCCC(=O)OC</t>
  </si>
  <si>
    <t>CC=C(C=CC=C(C)C)C=O</t>
  </si>
  <si>
    <t>CC(C)CC(=O)OC/C=C(\C)/CCC=C(C)C</t>
  </si>
  <si>
    <t>COC1=C2C=CC(=O)OC2=CC3=C1C=CO3</t>
  </si>
  <si>
    <t>CC(=O)C1=C(C=C(C=C1OC)OC)O</t>
  </si>
  <si>
    <t>COC1=CC2=C(C(=C1)OC)C(=O)C(=C(O2)C3=CC=CC=C3)OC</t>
  </si>
  <si>
    <t>CNC1=C(C=C(C=C1)[N+](=O)[O-])C(=O)C2=CC=CC=C2</t>
  </si>
  <si>
    <t>C1=CC=C(C(=C1)O)O</t>
  </si>
  <si>
    <t>C1CC(=O)C2=C([C@H]1O)C(=CC=C2)O</t>
  </si>
  <si>
    <t>CC1CCC2C1C3C(C3(C)C)CCC2=C</t>
  </si>
  <si>
    <t>C[C@@H]1CC[C@@H]2[C@@H]1[C@H]3[C@H](C3(C)C)CCC2=C</t>
  </si>
  <si>
    <t>C[C@H]1CC[C@H]2[C@H]1[C@@H]3[C@@H](C3(C)C)CCC2=C</t>
  </si>
  <si>
    <t>CC1CC[C@H]2[C@H]1[C@@H]3[C@@H](C3(C)C)CCC2=C</t>
  </si>
  <si>
    <t>C[C@H]1CC[C@@H]2[C@@H]1[C@@H]3[C@H](C3(C)C)CCC2=C</t>
  </si>
  <si>
    <t>C[C@@H]1CC[C@@H]2[C@@H]1[C@H]3[C@H](C3(C)C)CC[C@@]2(C)O</t>
  </si>
  <si>
    <t>CC1CC[C@@H]2[C@@H]1[C@H]3[C@H](C3(C)C)CC[C@@]2(C)O</t>
  </si>
  <si>
    <t>C[C@H]1CC[C@@H]2[C@@H]1[C@@H]3[C@H](C3(C)C)CC[C@@]2(C)O</t>
  </si>
  <si>
    <t>C[C@@H]1CC[C@@H]2[C@@H]1[C@H]3[C@H](C3(C)C)CC[C@]2(C)O</t>
  </si>
  <si>
    <t>[C@@H]1([C@H]([C@H](OC([C@@H]1O)O)C(=O)O)O)O</t>
  </si>
  <si>
    <t>CC(=C)[C@@H]1CC[C@]2([C@H]1[C@H]3CC[C@@H]4[C@]5(CCC(=O)C([C@@H]5CC[C@]4([C@@]3(CC2)C)C)(C)C)C)C</t>
  </si>
  <si>
    <t>C([C@H]1[C@@H]([C@H](C(O1)O)O)O)O</t>
  </si>
  <si>
    <t>C([C@@H]1[C@@H]([C@@H]([C@H](C(O1)O)O)O)O)O</t>
  </si>
  <si>
    <t>C([C@H]([C@H](CO)O)O)O</t>
  </si>
  <si>
    <t>C1=CC(=CC=C1O)O</t>
  </si>
  <si>
    <t>C1=C(C=C(C=C1O)O)O</t>
  </si>
  <si>
    <t>COC1=CC(=C2C(=C1)OC(=CC2=O)C3=CC=C(C=C3)O)O</t>
  </si>
  <si>
    <t>C1=CC(=O)OC2=CC(=C(C=C21)O)O</t>
  </si>
  <si>
    <t>C1=CC(=C(C=C1O)O)C2=C(C(=O)C3=C(C=C(C=C3O2)O)O)O</t>
  </si>
  <si>
    <t>CCCCC/C=C\C/C=C\CCCCCCCC(=O)O</t>
  </si>
  <si>
    <t>CCCCCCCCCCCC1[C@@H](C(C(=O)O1)C)C(=O)O</t>
  </si>
  <si>
    <t>COC1=C(C=CC(=C1)/C=C/C(=O)O[Si](C)(C)C)O[Si](C)(C)C</t>
  </si>
  <si>
    <t>COC(=O)/C=C/C1=CC(=C(C=C1)O[Si](C)(C)C)O[Si](C)(C)C</t>
  </si>
  <si>
    <t>CCCCOC(=O)C1=CC=CC=C1C(=O)OCCCC</t>
  </si>
  <si>
    <t>C[Si](C)(C)OC(CC(=O)O[Si](C)(C)C)C(=O)O[Si](C)(C)C</t>
  </si>
  <si>
    <t>C[Si](C)(C)O[Si](C)(C)O[Si](C)(C)C</t>
  </si>
  <si>
    <t>C1CCCCC2=CC=C(CCCC1)NC2=O</t>
  </si>
  <si>
    <t>C[Si](C)(C)OCC(CO[Si](C)(C)C)O[Si](C)(C)C</t>
  </si>
  <si>
    <t>C[Si](C)(C)OC(=O)CCC(=O)O[Si](C)(C)C</t>
  </si>
  <si>
    <t>CC(=O)N[C@H]1CCC2=CC(=C(C(=C2C3=CC=C(C(=O)C=C13)SC)OC)OC)OC</t>
  </si>
  <si>
    <t>COC1=C(C(=C2C[C@H]3C4=C(C5=C(C=C4CCN3CC2=C1)OCO5)OC)CO)OC</t>
  </si>
  <si>
    <t>C[C@H](CCCC(C)C)[C@H]1CC(=O)[C@@]2([C@@]1(CC[C@H]3C2=CCC4[C@@]3(CCC(C4)O)C)C)C</t>
  </si>
  <si>
    <t>CCCCCCCCCCCCCCCC(=O)O[Si](C)(C)C</t>
  </si>
  <si>
    <t>CCCCCCCCCCCCCC(=O)O</t>
  </si>
  <si>
    <t>CCCCC/C=C\C(C)CCCCCCOC(=O)C</t>
  </si>
  <si>
    <t>C[C@@H]1CCC=C([C@@]12CC[C@H](C2)C(C)(C)O)C</t>
  </si>
  <si>
    <t>CC(=C)[C@H]1CC[C@]2([C@H]1CC[C@@]3([C@@H]2CC[C@H]4[C@]3(CC[C@@H]5[C@@]4(CCCC5(C)C)C)C)C)C</t>
  </si>
  <si>
    <t>CCCCCCCC/C=C/CCCCCCCC(=O)O</t>
  </si>
  <si>
    <t>C1(C(C(C(C(C1Cl)Cl)Cl)Cl)Cl)Cl</t>
  </si>
  <si>
    <t>C([C@H]([C@H]([C@@H]([C@H](CO)O)O)O)O)O</t>
  </si>
  <si>
    <t>C([C@H]([C@@H](CO)O)O)O</t>
  </si>
  <si>
    <t>C([C@H]([C@@H]([C@@H]([C@H](CO)O)O)O)O)O</t>
  </si>
  <si>
    <t>C1=CC=C2C(=C1)C=CC=N2</t>
  </si>
  <si>
    <t>C1=CC=C(C=C1)CCC(=O)O</t>
  </si>
  <si>
    <t>C1=CC(=CC=C1/C=C\C(=O)O)O</t>
  </si>
  <si>
    <t>C1=CC(=CC=C1C=O)O</t>
  </si>
  <si>
    <t>C[C@@]12CC[C@@H]3[C@H](CC3(C)C)C(=C)CC[C@H]1O2</t>
  </si>
  <si>
    <t>CC1(CCC2(CCC3(C(C2C1)C(=O)CC4C3(CCC5C4(CCC(=O)C5(C)C)C)C)C)C)C</t>
  </si>
  <si>
    <t>CC(=CCC/C(=C\CO)/C)C</t>
  </si>
  <si>
    <t>CC1=CC2=C(C(=C1)O)C(=O)C3=C(C2=O)C=C(C=C3O)O</t>
  </si>
  <si>
    <t>C1[C@H]([C@H](OC2=CC(=CC(=C21)O)O)C3=CC(=C(C=C3)O)O)O</t>
  </si>
  <si>
    <t>C1=CC(=CC=C1/C=C/C2=CC(=CC(=C2)O)O)O</t>
  </si>
  <si>
    <t>COC1=C(C=CC(=C1)C=C)O</t>
  </si>
  <si>
    <t>C=CC(=O)O</t>
  </si>
  <si>
    <t>CCCCCCCCCCC/C=C/CCCCC(=O)O</t>
  </si>
  <si>
    <t>CCCCCCCCCCCCCC(=O)OCC</t>
  </si>
  <si>
    <t>CCCCCCCCCCCC(=O)OCC</t>
  </si>
  <si>
    <t>CCCCC(CC)COC(=O)C1=CC=CC=C1C(=O)O</t>
  </si>
  <si>
    <t>CCOC(=O)/C=C/C1=CC=C(C=C1)O</t>
  </si>
  <si>
    <t>CC/C=C(\C)/CC=C</t>
  </si>
  <si>
    <t>C1CN(N=C1C2=CC=CC=C2[N+](=O)[O-])C3=CC=CC=C3</t>
  </si>
  <si>
    <t>CCC=C=C</t>
  </si>
  <si>
    <t>C=CC=CC#CC=C</t>
  </si>
  <si>
    <t>CC1=CC=C(C=C1)C(=O)N/N=C/C2=CC=CC=C2</t>
  </si>
  <si>
    <t>C#CC1=CC=CC=C1</t>
  </si>
  <si>
    <t>CC1=CC=C(C=C1)N=O</t>
  </si>
  <si>
    <t>C1=CC=C(C=C1)[Hg]Cl</t>
  </si>
  <si>
    <t>C=CCCC(=O)O</t>
  </si>
  <si>
    <t>C1=CC(=CC(=C1)O)/C=C/C(=O)O</t>
  </si>
  <si>
    <t>C1=CC(=CC(=C1)C(=O)O)C(=O)O</t>
  </si>
  <si>
    <t>C=CCO</t>
  </si>
  <si>
    <t>CC1=CC2=C(C(=C1)O)C(=O)C3=C(C2=O)C=CC=C3O</t>
  </si>
  <si>
    <t>CC=O</t>
  </si>
  <si>
    <t>CC(=O)C1=CC(=CC=C1)OC</t>
  </si>
  <si>
    <t>CC1=C2C[C@@H](CC[C@]2(CCC1)C)C(C)(C)O</t>
  </si>
  <si>
    <t>CC1=CCC[C@]2([C@H]1C[C@@H](CC2)C(C)(C)O)C</t>
  </si>
  <si>
    <t>CCCCC(=O)C1=CC=C(C=C1)O</t>
  </si>
  <si>
    <t>C=CC=O</t>
  </si>
  <si>
    <t>C1=CC=C2C(=C1)C=CO2</t>
  </si>
  <si>
    <t>C1=CN=CN=C1N</t>
  </si>
  <si>
    <t>COC1=CC=C(C=C1)C2=CC(=O)C3=C(O2)C=C(C(=C3O)OC)O</t>
  </si>
  <si>
    <t>CC1=CC2=C(C(=C1)O)C(=O)C3=C(C2=O)C=C(C=C3O)OC</t>
  </si>
  <si>
    <t>CC(=O)C1=CC=C(C=C1)O</t>
  </si>
  <si>
    <t>CCC(C)COC(=O)C</t>
  </si>
  <si>
    <t>CC(C)COC(=O)C(C)C</t>
  </si>
  <si>
    <t>CC(=C)CCOC(=O)C</t>
  </si>
  <si>
    <t>CC(=C)CCO</t>
  </si>
  <si>
    <t>CCCC(=O)OCCC(C)C</t>
  </si>
  <si>
    <t>CC(=CCO)C</t>
  </si>
  <si>
    <t>CC(=O)O</t>
  </si>
  <si>
    <t>CC(=CCCC(C)(C=C)OC(=O)C)C</t>
  </si>
  <si>
    <t>COC(=O)C1=CC=CC=C1</t>
  </si>
  <si>
    <t>CCC(C)C(=O)O</t>
  </si>
  <si>
    <t>CC(=O)OCC1=CC=CC=C1</t>
  </si>
  <si>
    <t>[O-]P(=O)([O-])[O-]</t>
  </si>
  <si>
    <t>CC1=CCC(CC1)[C@](C)(CCC=C(C)C)O</t>
  </si>
  <si>
    <t>COC1=CC=CC=C1C(=O)OCC2=CC=CC=C2</t>
  </si>
  <si>
    <t>COC1=CC(C(C(=C1)O)C=CC(=O)C2=CC=CC=C2)O</t>
  </si>
  <si>
    <t>C1=CC=C(C=C1)C(=O)C=CC2C(C=C(C=C2O)O)O</t>
  </si>
  <si>
    <t>C1=CC=C(C(=C1)CO)O[C@H]2[C@@H]([C@H]([C@@H]([C@H](O2)CO)O)O)O</t>
  </si>
  <si>
    <t>COC1=C(C=CC(=C1)/C=C/COC(=O)C2=CC=CC=C2)O</t>
  </si>
  <si>
    <t>C([C@@H]1[C@H]([C@@H]([C@H]([C@@H](O1)O)O)O)O)O</t>
  </si>
  <si>
    <t>C1=CC=C(C=C1)C(=O)C=CC2=C(C=C(C=C2O)O)O</t>
  </si>
  <si>
    <t>CC(=O)OCC(CO)O</t>
  </si>
  <si>
    <t>COC1=C(C=C(C=C1)C(=O)O)O</t>
  </si>
  <si>
    <t>CCCCCCCCC/C=C/CCCCCCC(=O)O</t>
  </si>
  <si>
    <t>COC1=CC(=CC(=C1C=CC(=O)C2=CC=CC=C2)O)O</t>
  </si>
  <si>
    <t>CCCCCCCCCCCCCCCCCCCCCCCCCC(=O)O</t>
  </si>
  <si>
    <t>CCCCCCCCCCCCCCCCCCCCCCCCCCCC(=O)O</t>
  </si>
  <si>
    <t>COC1=CC(=C2C(=O)CC(OC2=C1)(C3=CC=CC=C3)O)O</t>
  </si>
  <si>
    <t>CC(=C)CCOC(=O)/C=C/C1=CC(=C(C=C1)O)OC</t>
  </si>
  <si>
    <t>CC(=CCOC(=O)/C=C/C1=CC(=C(C=C1)O)OC)C</t>
  </si>
  <si>
    <t>COC1=C(C=C(C2=C1OC(=C(C2=O)O)C3=CC=C(C=C3)O)O)O</t>
  </si>
  <si>
    <t>COC1=C(OC2=CC(=CC(=C2C1=O)O)O)C3=CC=C(C=C3)O</t>
  </si>
  <si>
    <t>COC1=CC(=C2C(=C1)OC(=CC2=O)C3=CC(=C(C=C3)O)O)O</t>
  </si>
  <si>
    <t>COC1=CC(=C2C(=C1)OC(=C(C2=O)OC)C3=CC(=C(C=C3)O)O)O</t>
  </si>
  <si>
    <t>COC1=CC=C(C=C1)[C@@H]2CC(=O)C3=C(C=C(C=C3O2)O)O</t>
  </si>
  <si>
    <t>COC1=C(OC2=CC(=CC(=C2C1=O)O)O)C3=CC=CC=C3</t>
  </si>
  <si>
    <t>C1=CC(=C(C=C1O)CC(=O)O)O</t>
  </si>
  <si>
    <t>C1=CC(=C(C=C1C=O)O)O</t>
  </si>
  <si>
    <t>CC1=CC(=O)CC(C1(/C=C/C(=C\C(=O)O)/C)O)(C)C</t>
  </si>
  <si>
    <t>CC1=CC(=O)CC([C@]1(/C=C/C(=C\C(=O)O)/C)O)(C)C</t>
  </si>
  <si>
    <t>CC1=CC(=O)CC(C1(/C=C/C(=C/C(=O)O)/C)O)(C)C</t>
  </si>
  <si>
    <t>CC1=CC(=O)CC(C1(C=CC(=CC(=O)O)C)O)(C)C</t>
  </si>
  <si>
    <t>CC1=CC(=O)CC([C@@]1(/C=C/C(=C\C(=O)O)/C)O)(C)C</t>
  </si>
  <si>
    <t>CC1=CC(=O)CC([C@]1(/C=C/C(=C/C(=O)O)/C)O)(C)C</t>
  </si>
  <si>
    <t>CC1=CC(=O)CC([C@]1(/C=C/C(=CC(=O)O)C)O)(C)C</t>
  </si>
  <si>
    <t>CC1=CCC2C(C1)C2(C)C</t>
  </si>
  <si>
    <t>CC1=CC[C@H](CC1)C(=C)C</t>
  </si>
  <si>
    <t>CC1(C2CC3C1(C3C2)C)C</t>
  </si>
  <si>
    <t>CC1CCC2C1C3C(C3(C)C)CCC24CO4</t>
  </si>
  <si>
    <t>C/C/1=C\CCC(=C)[C@H]2CC([C@@H]2CC1)(C)C</t>
  </si>
  <si>
    <t>CCCCCCO</t>
  </si>
  <si>
    <t>C/C=C(\C)/C(=O)O</t>
  </si>
  <si>
    <t>C1=CC(=CC=C1C2=CC(=O)C3=C(C=C(C=C3O2)O[C@H]4[C@@H]([C@H]([C@@H]([C@H](O4)CO)O)O)O)O)O</t>
  </si>
  <si>
    <t>C1=CC(=C(C=C1C2=C(C(=O)C3=C(C=C(C=C3O2)O)O)O[C@H]4[C@@H]([C@H]([C@H]([C@H](O4)CO)O)O)O)O)O</t>
  </si>
  <si>
    <t>CC(=O)C(O)C(O)C(O)(C(=O)/C=C/C1=CC=C(C=C1)O)C(=O)/C=C/C2=CC=C(C=C2)O</t>
  </si>
  <si>
    <t>COC1=C(C=CC(=C1)[C@@H]2CC(=O)C3=C(C=C(C=C3O2)O)O)O</t>
  </si>
  <si>
    <t>C[C@@]1(CC[C@@H]2[C@H](CC2(C)C)C(=C)C1)C=O</t>
  </si>
  <si>
    <t>C1=CC=C(C=C1)OC(=O)/C=C/C2=CC(=C(C=C2)O)O</t>
  </si>
  <si>
    <t>C1=CC=C(C=C1)COC(=O)/C=C/C2=CC=CC=C2</t>
  </si>
  <si>
    <t>C1=CC(=C(C=C1/C=C/C(=O)O[C@@H](C(=O)O)[C@@H](OC(=O)/C=C/C2=CC(=C(C=C2)O)O)C(=O)O)O)O</t>
  </si>
  <si>
    <t>C1[C@@]([C@H]([C@@H](O1)O[C@@H]2[C@H]([C@@H]([C@H](O[C@H]2OC3=CC(=C4C(=C3)OC(=CC4=O)C5=CC=C(C=C5)O)O)CO)O)O)O)(CO)O</t>
  </si>
  <si>
    <t>COC1=C(C2=C(C=C1O)OC(=CC2=O)C3=CC=CC=C3)O</t>
  </si>
  <si>
    <t>C1=C2C3=C(C(=C1O)O)OC(=O)C4=CC(=C(C(=C43)OC2=O)O)O.O.O</t>
  </si>
  <si>
    <t>CC(=O)[C@H]1CC[C@@H]2[C@@]1(CC(=O)[C@H]3[C@H]2CC[C@@H]4[C@@]3(CC[C@H](C4)O)C)C</t>
  </si>
  <si>
    <t>CCCCCCCCCCCCCCCCCCCCCCCCCCCCCCCCCCCCCO</t>
  </si>
  <si>
    <t>C1=CC(=C(C=C1CC(=O)O)O)O</t>
  </si>
  <si>
    <t>C1=CC=C(C=C1)CC(=O)O</t>
  </si>
  <si>
    <t>CCCCCOC1=C(C=C(C=C1)C(=O)O)OC</t>
  </si>
  <si>
    <t>[C@@H]1([C@@H]([C@H](OC([C@@H]1O)O)C(=O)O)O)O</t>
  </si>
  <si>
    <t>C1=COC(=C1)CC=O</t>
  </si>
  <si>
    <t>C([C@@H]1[C@H]([C@@H]([C@H]([C@H](O1)O[C@@H]2[C@H](O[C@H]([C@@H]([C@H]2O)O)O)CO)O)O)O)O</t>
  </si>
  <si>
    <t>C([C@@H]1[C@H]([C@@H]([C@H]([C@H](O1)O[C@@H]2[C@H](OC([C@@H]([C@H]2O)O)O)CO)O)O)O)O</t>
  </si>
  <si>
    <t>C([C@@H]1[C@H]([C@@H]([C@H]([C@H](O1)O[C@@H]2[C@H](O[C@@H]([C@@H]([C@H]2O)O)O)CO)O)O)O)O</t>
  </si>
  <si>
    <t>C(C1C(C(C(C(O1)OC2C(OC(C(C2O)O)O)CO)O)O)O)O</t>
  </si>
  <si>
    <t>C([C@@H]1[C@H]([C@@H]([C@H]([C@H](O1)O[C@@H]2[C@H](O[C@@H]([C@H]([C@H]2O)O)O)CO)O)O)O)O</t>
  </si>
  <si>
    <t>C([C@H]1[C@@H]([C@H]([C@@H]([C@@H](O1)O[C@H]2[C@@H](O[C@H]([C@H]([C@@H]2O)O)O)CO)O)O)O)O</t>
  </si>
  <si>
    <t>C([C@@H]1[C@@H]([C@@H]([C@H]([C@H](O1)O[C@@H]2[C@@H](O[C@H]([C@@H]([C@H]2O)O)O)CO)O)O)O)O</t>
  </si>
  <si>
    <t>C([C@@H]1[C@H]([C@@H]([C@H](C(O1)O[C@@H]2[C@H](O[C@@H]([C@@H]([C@H]2O)O)O)CO)O)O)O)O</t>
  </si>
  <si>
    <t>C([C@@H]1[C@H]([C@@H]([C@H]([C@H](O1)O[C@H]2[C@@H](O[C@@H]([C@H]([C@@H]2O)O)O)CO)O)O)O)O</t>
  </si>
  <si>
    <t>C[C@H]1[C@@H]([C@H]([C@H]([C@@H](O1)OC[C@@H]2[C@H]([C@@H]([C@H]([C@@H](O2)OC3=C(OC4=CC(=CC(=C4C3=O)O)O)C5=CC=C(C=C5)O)O)O)O)O)O)O</t>
  </si>
  <si>
    <t>COC1=CC=C(C=C1)C2=CC(=O)C3=C(C(=C(C=C3O2)OC)OC)O</t>
  </si>
  <si>
    <t>COC1=C(C(=C2C(=C1)OC(=C(C2=O)OC)C3=CC=C(C=C3)O)O)OC</t>
  </si>
  <si>
    <t>C1=CC(=CC(=C1)O)C(=O)O</t>
  </si>
  <si>
    <t>COC1=CC=C(C=C1)C(=O)O</t>
  </si>
  <si>
    <t>COC1=C(C=CC(=C1)/C=C/C=O)O</t>
  </si>
  <si>
    <t>CCOC(=O)/C=C/C1=CC(=C(C=C1)O)O</t>
  </si>
  <si>
    <t>COC1=CC(=CC2=C1C(=O)[C@@H]([C@H](O2)C3=CC=CC=C3)O)O</t>
  </si>
  <si>
    <t>COC1=C(C=CC(=C1)C2=C(C(=O)C3=C(C=C(C=C3O2)O)O)OC)O</t>
  </si>
  <si>
    <t>CC(=O)OC(COC(=O)/C=C/C1=CC=C(C=C1)O)COC(=O)/C=C/C2=CC=C(C=C2)O</t>
  </si>
  <si>
    <t>CC(=O)OC(COC(=O)/C=C/C1=CC=C(C=C1)O)COC(=O)/C=C/C2=CC(=C(C=C2)O)OC</t>
  </si>
  <si>
    <t>CCC(=O)O[C@@H]1[C@H](OC2=CC(=CC(=C2C1=O)O)O)C3=CC=CC=C3</t>
  </si>
  <si>
    <t>C[C@H]1[C@@H]([C@H]([C@H]([C@@H](O1)OC[C@@H]2[C@H]([C@@H]([C@H]([C@@H](O2)OC3=CC(=C4C(=O)C[C@H](OC4=C3)C5=CC(=C(C=C5)OC)O)O)O)O)O)O)O)O</t>
  </si>
  <si>
    <t>CCCCCCCCCCCCCCCCC/C=C/CCCCCCCCCCCCCCCC</t>
  </si>
  <si>
    <t>CCCCCCCCCCCCCCCCCCCCC=C</t>
  </si>
  <si>
    <t>CC1=CC(=CC=C1)C</t>
  </si>
  <si>
    <t>CCC1=CC=CC=C1</t>
  </si>
  <si>
    <t>C/C=C/C(C)O</t>
  </si>
  <si>
    <t>CC=CC(C)O</t>
  </si>
  <si>
    <t>C1COC2=CC=CC=C21</t>
  </si>
  <si>
    <t>CCCCCCCCCC/C=C/CCCCCCCCC</t>
  </si>
  <si>
    <t>CCCCCCC/C=C/C1CCCCC1</t>
  </si>
  <si>
    <t>CCCCCCCC=CC1CCCCC1</t>
  </si>
  <si>
    <t>CCCCCCCCCCCCC/C=C/CCCCCCCC</t>
  </si>
  <si>
    <t>CCCCCCCCCCCCCCCCCCC</t>
  </si>
  <si>
    <t>CCCCCCCCCCCC/C=C\CCCCCCCCCCC</t>
  </si>
  <si>
    <t>CC(=CC(=O)O)C</t>
  </si>
  <si>
    <t>CCCCCCCCC=CCCCCCCCC(=O)O</t>
  </si>
  <si>
    <t>CC1=CCC(CC1=O)C(=C)C</t>
  </si>
  <si>
    <t>C/C(=C\CO)/CC[C@H]1[C@@]2(CCCC(C2CC[C@]1(C)O)(C)C)C</t>
  </si>
  <si>
    <t>CC[C@H](C)/C=C\CCCCCCCCCCOC(=O)C</t>
  </si>
  <si>
    <t>CCCC/C=C\CCCCCCCCCCOC(=O)C</t>
  </si>
  <si>
    <t>CC1(CCC2=C(C1)C3CCC4C5(CCC(=O)C(C5CCC4(C3(CC2)C)C)(C)C)C)C</t>
  </si>
  <si>
    <t>C1CCCCCCCCCCCCCC1</t>
  </si>
  <si>
    <t>CCCCCCCCCCCCCCCCCl</t>
  </si>
  <si>
    <t>COC1=CC=CC(=C1)/C=C/C(=O)O</t>
  </si>
  <si>
    <t>CC=C(C)CO</t>
  </si>
  <si>
    <t>C/C=C(\C)/CO</t>
  </si>
  <si>
    <t>C/C=C(/C)\CO</t>
  </si>
  <si>
    <t>CCCCCCC/C=C/CCCCCCCOC(=O)C</t>
  </si>
  <si>
    <t>CCCCCCC(C)C</t>
  </si>
  <si>
    <t>C[C@@]12CCC[C@]3(C1)C=CC([C@@H]3CC2)(C)C</t>
  </si>
  <si>
    <t>C[C@]12CCC[C@@]3(C1)C=CC([C@@H]3CC2)(C)C</t>
  </si>
  <si>
    <t>CC1(C=CC23C1CCC(C2)(CCC3)C)C</t>
  </si>
  <si>
    <t>C[C@@]12CCC[C@]3(C1)C=CC([C@H]3CC2)(C)C</t>
  </si>
  <si>
    <t>CC1=CCC(C=C1)C(=C)C</t>
  </si>
  <si>
    <t>CCCCCCCCCCCCCCCCCC=C</t>
  </si>
  <si>
    <t>CCCCCCCCC/C=C/CCCCCCCC</t>
  </si>
  <si>
    <t>CCCCCCCCCCCCC/C=C\CCCCCCCC</t>
  </si>
  <si>
    <t>CCCCCCCCCCCCCC/C=C\CCCCCCCCCCCCC</t>
  </si>
  <si>
    <t>CC(=O)O[C@@H]1C[C@@H]2CC[C@]1(C2(C)C)C</t>
  </si>
  <si>
    <t>CC(=CC/C=C(/C)\C=C)C</t>
  </si>
  <si>
    <t>C1CCCCCCCOC(=O)CCCCCC1</t>
  </si>
  <si>
    <t>CCCCCCCCCCCCCCCC1=CC(=CC=C1)O</t>
  </si>
  <si>
    <t>CC(=O)OC1C(C2CCC1(C2)C)(C)C</t>
  </si>
  <si>
    <t>CCCCCCC(CCCCCC)CC1CCCC1</t>
  </si>
  <si>
    <t>CC1(C(=O)CCC2(C1=CCCC2)C)C</t>
  </si>
  <si>
    <t>CC(C)(CC(=O)O)Br</t>
  </si>
  <si>
    <t>CC=CC=CC=CC</t>
  </si>
  <si>
    <t>CC1(C2CC1C(=C)C(=O)C2)C</t>
  </si>
  <si>
    <t>CC1([C@@H]2C[C@H]1C(=C)[C@H](C2)O)C</t>
  </si>
  <si>
    <t>CC1([C@@H]2C[C@H]1C(=C)[C@@H](C2)O)C</t>
  </si>
  <si>
    <t>CC1(C2CC1C(=C)C(C2)O)C</t>
  </si>
  <si>
    <t>CC1(C2C[C@H](C(=C)C1C2)O)C</t>
  </si>
  <si>
    <t>CCCCCCCCCCCCCC(=O)C</t>
  </si>
  <si>
    <t>CCCCC(CC)COC(=O)C1=CC=CC=C1C(=O)OCCCC</t>
  </si>
  <si>
    <t>CC(=C)/C=C/C(C)(C)C=C</t>
  </si>
  <si>
    <t>CCCCCCCCCCCCOC(=O)C=C</t>
  </si>
  <si>
    <t>C/C=C/C1=CC(=C(C(=C1)OC)OC)OC</t>
  </si>
  <si>
    <t>CCCCCCCCCCCCCCCCCCCl</t>
  </si>
  <si>
    <t>CCC1CCCCCCCCCCCCCCCCCCCCC1</t>
  </si>
  <si>
    <t>CCOC(=O)CCC1=CC=CC=C1</t>
  </si>
  <si>
    <t>CC1=C2C[C@@H](CC[C@@]2(CCC1)C)C(C)(C)O</t>
  </si>
  <si>
    <t>CC(=CCC/C(=C/CC/C(=C/CO)/C)/C)C</t>
  </si>
  <si>
    <t>CCC1=C(N=C(C(=N1)CC)CC)CC</t>
  </si>
  <si>
    <t>CCCCCC/C=C\CCCCCCCCOC(=O)C</t>
  </si>
  <si>
    <t>CCOC(=O)C1=CC=CC=C1C(=O)OCC</t>
  </si>
  <si>
    <t>COC(=O)CC(=O)CC(C1=CC=CC=C1)O</t>
  </si>
  <si>
    <t>CC(C)COC(=O)C1=CC=CC=C1C(=O)OCC(C)C</t>
  </si>
  <si>
    <t>CCCCCCCCCCCCCCC(=O)OCC</t>
  </si>
  <si>
    <t>CC[C@@H](C)CCCC/C=C\CCCCCCCO</t>
  </si>
  <si>
    <t>CC(C)[C@H]1CC[C@]2([C@]13CC[C@](O3)([C@H](C2)O)C)C</t>
  </si>
  <si>
    <t>CCCCCCCCCCCCCCCCCCCCCCCCCCCCCO</t>
  </si>
  <si>
    <t>CCCCCCCCCCCCCCCCCCCC[Si](Cl)(Cl)Cl</t>
  </si>
  <si>
    <t>CCCCCCCCCCCCCCCCCCCCCCCCCCCCCCCC</t>
  </si>
  <si>
    <t>C[C@@H]1CCCC2=CC(=O)[C@@H]3[C@H]([C@@]12C)C3(C)C</t>
  </si>
  <si>
    <t>CC1=C2CC(CCC2(CC(=O)C1)C)C(=C)C</t>
  </si>
  <si>
    <t>CC1=C(C(CCC1)(C)C)CBr</t>
  </si>
  <si>
    <t>CCCCCC/C=C/C=O</t>
  </si>
  <si>
    <t>COC1=C(C=CC(=C1)/C=C/CO)O</t>
  </si>
  <si>
    <t>C=CC1=CC=C(C=C1)O</t>
  </si>
  <si>
    <t>CC1CCCC(CCC(CCC(CCC1)C)C(C)C)C</t>
  </si>
  <si>
    <t>CCCCCCCC/C=C\CCCCCCCC(=O)OC</t>
  </si>
  <si>
    <t>CCCCCCCC/C=C\CCCCCCCCOCCO</t>
  </si>
  <si>
    <t>C=CCCCCCCCCCCCCCCCCC=C</t>
  </si>
  <si>
    <t>C=CCCCCCCCCCCC=C</t>
  </si>
  <si>
    <t>C1CCCCCCCCC(CCCCCCC1)O</t>
  </si>
  <si>
    <t>C1CCCCCCC(C(=O)CCCCCC1)O</t>
  </si>
  <si>
    <t>CC1(CCCC2(C3C1C(C2C=O)CC3)C)C</t>
  </si>
  <si>
    <t>C1=CC(=C(C=C1/C=C\2/C(=O)C3=C(O2)C=C(C=C3)O)O)O</t>
  </si>
  <si>
    <t>CCCC/C=C\CCCCCCCCCCCCOC(=O)C</t>
  </si>
  <si>
    <t>CC1(C2CCC1(C(=O)C2)C)C</t>
  </si>
  <si>
    <t>CCCCCCC1CCS(=O)(=O)CC1</t>
  </si>
  <si>
    <t>CC1=CC=C(C=C1)C=O</t>
  </si>
  <si>
    <t>C1=CC=C(C=C1)C2=CC(=CS2)C3=CC=CC=C3</t>
  </si>
  <si>
    <t>CCCCCCCCCCCC=C</t>
  </si>
  <si>
    <t>COC1=CC=C(C=C1)/C=C/C(=O)OC</t>
  </si>
  <si>
    <t>CC(=CC(C=C)C(=C)C)C</t>
  </si>
  <si>
    <t>CC1(C2CC1C(=C)C=C2)C</t>
  </si>
  <si>
    <t>CC1=CCC(C1(C)C)CC=O</t>
  </si>
  <si>
    <t>CCCCCCCCCCCCCCCC(C)C</t>
  </si>
  <si>
    <t>C1=CC=C(C(=C1)C(=O)NN)O</t>
  </si>
  <si>
    <t>CC1=CC(=CC(=C1)C(=O)O)C(=O)O</t>
  </si>
  <si>
    <t>C1=C(OC(=C1)C=O)CO</t>
  </si>
  <si>
    <t>CCCC/C=C/CCCCCCCC/C=C\CCO</t>
  </si>
  <si>
    <t>CC1=C(C(=O)C(CO1)O)O</t>
  </si>
  <si>
    <t>C1CC2C=CC1C=C(C2=O)C3=CC=CC=C3</t>
  </si>
  <si>
    <t>C1=CC=CC(C=C1)C2=CC=C(C=C2)C(=O)N=[N+]=[N-]</t>
  </si>
  <si>
    <t>CC(=O)C1=C(C=CC2=C1C=CC(=C2C(=O)C)O)O</t>
  </si>
  <si>
    <t>C1=CC=C2C(=C1)C=CC3=CC4=C(C=C32)SC5=CC=CC=C54</t>
  </si>
  <si>
    <t>CCCCCCCCCCCCCCCCCC=O</t>
  </si>
  <si>
    <t>CCCC/C=C/CCCCCCCCC/C=C\CO</t>
  </si>
  <si>
    <t>CCCC/C=C\CCCCCCCCOC=O</t>
  </si>
  <si>
    <t>C1=CC=C(C=C1)C=CC(=O)O</t>
  </si>
  <si>
    <t>COC(=O)C=CC1=CC=C(C=C1)O</t>
  </si>
  <si>
    <t>CC1=CC(C2CC1C2(C)C)O</t>
  </si>
  <si>
    <t>CCCCCCCCCCCCCCCC=C</t>
  </si>
  <si>
    <t>CC(C)C1=CC2=C(C=C1)[C@]3(CCC[C@]([C@@H]3CC2)(C)C(=O)O)C</t>
  </si>
  <si>
    <t>CC=C(C)C(=O)O</t>
  </si>
  <si>
    <t>C1=CC=C(C=C1)/C=C/CCC(=O)O</t>
  </si>
  <si>
    <t>CCCCCCCCCC(=O)OCC</t>
  </si>
  <si>
    <t>CCC(C)CCCCCCCCCCCCCC(=O)OCC</t>
  </si>
  <si>
    <t>CCCCCCCCC(CCCCCCCCCCCCCO)O</t>
  </si>
  <si>
    <t>C/C=C(/C)\C(=O)O</t>
  </si>
  <si>
    <t>CCCCCCCCC/C=C/CC1CC(=O)OC1=O</t>
  </si>
  <si>
    <t>CC1=CC=C(C=C1)C(C)C</t>
  </si>
  <si>
    <t>C[C@@H]1CCC=C2[C@]1(C[C@@H](CC2)C(=C)C)C</t>
  </si>
  <si>
    <t>CC(C)(C)C#CC(=O)C#CC(C)(C)C</t>
  </si>
  <si>
    <t>CC1=C(C(=C(C(=C1C)C)C)C)C</t>
  </si>
  <si>
    <t>CC1(C2CC=C(C1C2)CO)C</t>
  </si>
  <si>
    <t>CC1(CC(=C(C(=O)C1)C(=NC(=O)C2=CC=CC=C2)N)O)C</t>
  </si>
  <si>
    <t>CCCCCCC/C=C/CO</t>
  </si>
  <si>
    <t>CCCCC/C=C\C/C=C\CCCCCCCC(=O)OCC</t>
  </si>
  <si>
    <t>CC1(C2CCC(O1)(CC2)C)C</t>
  </si>
  <si>
    <t>CC1CCC2C1C3C(C3(C)C)CC4C2(O4)C</t>
  </si>
  <si>
    <t>C/C/1=C\CCC(/C=C/C(CC/C(=C/CC1)/C)C(C)C)(C)O</t>
  </si>
  <si>
    <t>C/C/1=C/CC[C@@](/C=C/[C@@H](CC/C(=C/CC1)/C)C(C)C)(C)O</t>
  </si>
  <si>
    <t>C/C/1=C\CC[C@@](/C=C/[C@H](CC/C(=C/CC1)/C)C(C)C)(C)O</t>
  </si>
  <si>
    <t>C/C/1=C/CC[C@@](/C=C/[C@H](CC/C(=C/CC1)/C)C(C)C)(C)O</t>
  </si>
  <si>
    <t>C1CCCCCCCCCCC1</t>
  </si>
  <si>
    <t>CCCC1=CC=C(C=C1)Cl</t>
  </si>
  <si>
    <t>C1=CC(=CC=C1C(C(CO)N)O)[N+](=O)[O-]</t>
  </si>
  <si>
    <t>CCCCCCC1CCC(C1CCCCCCC(=O)O)O</t>
  </si>
  <si>
    <t>C1=CC(=C(C=C1/C=C/C(=O)C(C(CO)O)O)O)O</t>
  </si>
  <si>
    <t>COC1=CC=C(C=C1)C2=CC(=O)C3=C(C(=C(C(=C3O2)OC)OC)OC)O</t>
  </si>
  <si>
    <t>COC(=O)C1=COC(=C(C1=O)OCC2=CC=CC=C2)C(=O)OC</t>
  </si>
  <si>
    <t>COC1=CC=C(C=C1)C=CC(=O)C2=C(C=C(C=C2OC)OC)O</t>
  </si>
  <si>
    <t>COC1=C(C=C2C(=C1O)C(=O)C=C(O2)C3=CC=C(C=C3)O)O[C@H]4[C@@H]([C@H]([C@@H]([C@H](O4)CO)O)O)O</t>
  </si>
  <si>
    <t>CC1=C(C=CC(=C1)C(=CC(=O)C(=O)OC)O)OCC2=CC=CC=C2</t>
  </si>
  <si>
    <t>COC1=CC=C(C=C1)C(=O)OC2=CC(=C(C=C2)OC(=O)C3=CC=C(C=C3)OC)C=O</t>
  </si>
  <si>
    <t>COC1=CC=C(C=C1)OC(=O)C2=CC=C(C=C2)OCCCCCCOC(=O)C=C</t>
  </si>
  <si>
    <t>COC1=C(C=C(C=C1)C(=O)CC(=O)C2=CC(=C(C=C2)OC)OC)OC</t>
  </si>
  <si>
    <t>C1C2=CC(=C(C=C2C3=C(CC(CC4=CC(=C(C=C4C5=C(CC1(CO)O)C=C(C=C5)O)O)O)(CO)O)C=C(C=C3)O)O)O</t>
  </si>
  <si>
    <t>CC1=C(C=CC(=C1)OC(=O)C2=CC=C(C=C2)OCCCOC(=O)C=C)OC(=O)C3=CC=C(C=C3)OCCCOC(=O)C=C</t>
  </si>
  <si>
    <t>CCC(C)C(=O)OC(C/C(=C/CCC(C)(C=C)O)/C)C=C(C)C</t>
  </si>
  <si>
    <t>C1=CC(=C(C=C1[C@@H]2[C@H](C(=O)C3=C(C=C(C=C3O2)O)O)O)O)O</t>
  </si>
  <si>
    <t>COC1=C(C(=C2C(=C1)C=CC(=O)O2)O)O</t>
  </si>
  <si>
    <t>CCCCCC=CC[C@@H](C=CC=CCC=CCCCC(=O)O)OO</t>
  </si>
  <si>
    <t>COC1=CC(=CC(=C1OC)OC)C(=O)O</t>
  </si>
  <si>
    <t>C1[C@H](OC2=CC(=CC(=C2C1=O)O)O)C3=CC(=C(C=C3)O)O</t>
  </si>
  <si>
    <t>C[C@@H]1CC[C@@]2(CC[C@@]3(C(=CC[C@H]4[C@]3(CC[C@@H]5[C@@]4(CC[C@@H](C5(C)C)O)C)C)[C@@H]2[C@H]1C)C)C(=O)O</t>
  </si>
  <si>
    <t>C1=CC(=CC=C1C2=CC(=O)C3=C(O2)C(=C(C=C3O)O)[C@H]4[C@@H]([C@H]([C@@H]([C@H](O4)CO)O)O)O)O</t>
  </si>
  <si>
    <t>C(C[C@@H](C(=O)O)N)CN=C(N)N</t>
  </si>
  <si>
    <t>C1CC(NC1)C(=O)O</t>
  </si>
  <si>
    <t>C1C[C@@H](NC1)C(=O)O</t>
  </si>
  <si>
    <t>C(CCN)C[C@@H](C(=O)O)N</t>
  </si>
  <si>
    <t>C(CC(=O)O)[C@@H](C(=O)O)N</t>
  </si>
  <si>
    <t>C1=CC=C(C=C1)C[C@@H](C(=O)O)N</t>
  </si>
  <si>
    <t>C([C@@H](C(=O)O)N)C(=O)O</t>
  </si>
  <si>
    <t>CC(C)C[C@@H](C(=O)O)N</t>
  </si>
  <si>
    <t>C[C@@H](C(=O)O)N</t>
  </si>
  <si>
    <t>[CH2-][C@@H](C(=O)O)N</t>
  </si>
  <si>
    <t>C[C@@H](C(=O)[O-])[NH3+]</t>
  </si>
  <si>
    <t>C1[C@H](CN[C@@H]1C(=O)O)O</t>
  </si>
  <si>
    <t>CC(C)[C@@H](C(=O)O)N</t>
  </si>
  <si>
    <t>C(C(=O)O)N</t>
  </si>
  <si>
    <t>CC[C@H](C)[C@@H](C(=O)O)N</t>
  </si>
  <si>
    <t>CSCC[C@@H](C(=O)O)N</t>
  </si>
  <si>
    <t>CSCCC(C(=O)O)N</t>
  </si>
  <si>
    <t>CSCC[C@H](C(=O)O)N</t>
  </si>
  <si>
    <t>C1=CC(=CC=C1C[C@@H](C(=O)O)N)O</t>
  </si>
  <si>
    <t>C(C[C@@H](C(=O)O)N)CN</t>
  </si>
  <si>
    <t>C1=C(NC=N1)C[C@@H](C(=O)O)N</t>
  </si>
  <si>
    <t>CNCC(=O)O</t>
  </si>
  <si>
    <t>C([C@@H](C(=O)O)N)O</t>
  </si>
  <si>
    <t>C([C@@H](C(=O)O)N)SSC[C@@H](C(=O)O)N</t>
  </si>
  <si>
    <t>C(C(C(=O)O)N)SSCC(C(=O)O)N</t>
  </si>
  <si>
    <t>C([C@@H](C(=O)O)N)SSCC(C(=O)O)N</t>
  </si>
  <si>
    <t>C([C@H](C(=O)O)N)SSC[C@@H](C(=O)O)N</t>
  </si>
  <si>
    <t>C([C@H](C(=O)O)N)SSC[C@H](C(=O)O)N</t>
  </si>
  <si>
    <t>C[C@H]([C@@H](C(=O)O)N)O</t>
  </si>
  <si>
    <t>C(CN)C(=O)O</t>
  </si>
  <si>
    <t>C1=CC=C2C(=C1)C(=CN2)C[C@@H](C(=O)O)N</t>
  </si>
  <si>
    <t>COC1=CC(=C2C(=C1)OC(C(C2=O)O)C3=CC=CC=C3)O</t>
  </si>
  <si>
    <t>COC1=CC(=CC2=C1C(=O)C(=C(O2)C3=CC=CC=C3)O)O</t>
  </si>
  <si>
    <t>C(CCCC(=O)O)CCCC(=O)O</t>
  </si>
  <si>
    <t>COC1=CC(=CC(=C1O)OC)C(=O)OC</t>
  </si>
  <si>
    <t>CCCCCC=O</t>
  </si>
  <si>
    <t>CC/C=C/CC=O</t>
  </si>
  <si>
    <t>CC1=CCC2CC1C2(C)C</t>
  </si>
  <si>
    <t>CC1=CCC(=CC1)C(C)C</t>
  </si>
  <si>
    <t>CC(C)CCO</t>
  </si>
  <si>
    <t>CCCCCC(=O)C=C</t>
  </si>
  <si>
    <t>CSSSC</t>
  </si>
  <si>
    <t>CCC1=NC=C(N=C1CC)C</t>
  </si>
  <si>
    <t>CC/C=C\CC/C=C/C=O</t>
  </si>
  <si>
    <t>C1=CN=C(C=C1CO)C2=NC=CC(=C2)CO</t>
  </si>
  <si>
    <t>C1=CC=C(C=C1)CC=O</t>
  </si>
  <si>
    <t>CCCC/C=C/C=C/C=O</t>
  </si>
  <si>
    <t>CCCCCC(=O)C(C)C(=O)C</t>
  </si>
  <si>
    <t>C/C=C/C(=O)C1=C(C=CCC1(C)C)C</t>
  </si>
  <si>
    <t>C1=CC=C(C=C1)C[Si](Cl)(Cl)Cl</t>
  </si>
  <si>
    <t>CC1=C(C(CCC1)(C)C)/C=C/C(=O)C</t>
  </si>
  <si>
    <t>CCCCCC1CCC(=O)O1</t>
  </si>
  <si>
    <t>CC1C(=O)C(=C(O1)C)O</t>
  </si>
  <si>
    <t>COC1=CC=C(C=C1)C=O</t>
  </si>
  <si>
    <t>C1C2=C(C=CC=C2C(=O)O1)C#N</t>
  </si>
  <si>
    <t>CC1=CC=C(C=C1)O</t>
  </si>
  <si>
    <t>CCCCCCC1CCC(=O)O1</t>
  </si>
  <si>
    <t>CCOC(=O)/C=C/C1=CC=CC=C1</t>
  </si>
  <si>
    <t>C([C@H]([C@H]([C@@H]([C@@H](CO)O)O)O)O)N</t>
  </si>
  <si>
    <t>COC1=C(C=CC(=C1)CC=C)O</t>
  </si>
  <si>
    <t>CCC1=CC=C(C=C1)O</t>
  </si>
  <si>
    <t>COC1=C(C(=CC=C1)OC)O</t>
  </si>
  <si>
    <t>C=CC1=CC=CC=C1</t>
  </si>
  <si>
    <t>CCOC(=O)/C=C/C1=CC(=C(C=C1)O)OC</t>
  </si>
  <si>
    <t>CC(=CCC[C@@](C)([C@H]1CC[C@@]2([C@@H]1CC[C@H]3[C@]2(CC[C@@H]4[C@@]3(CCC(=O)C4(C)C)C)C)C)O)C</t>
  </si>
  <si>
    <t>CC(=CCC[C@@](C)([C@H]1CC[C@@]2(C1CCC3[C@]2(CCC4[C@@]3(CCC(=O)C4(C)C)C)C)C)O)C</t>
  </si>
  <si>
    <t>CC(=CCCC(C)(C1CCC2(C1CCC3C2(CCC4C3(CCC(=O)C4(C)C)C)C)C)O)C</t>
  </si>
  <si>
    <t>CC(=CCC[C@@](C)(C1CC[C@@]2(C1CC[C@H]3[C@]2(CC[C@@H]4[C@@]3(CCC(=O)C4(C)C)C)C)C)O)C</t>
  </si>
  <si>
    <t>CC(=CCC[C@@](C)([C@H]1CC[C@@]2(C1CC[C@H]3[C@]2(CC[C@@H]4[C@@]3(CCC(=O)C4(C)C)C)C)C)O)C</t>
  </si>
  <si>
    <t>CC(=CCC[C@@](C)(C1CC[C@@]2(C1CCC3[C@]2(CCC4[C@@]3(CCC(=O)C4(C)C)C)C)C)O)C</t>
  </si>
  <si>
    <t>CC(=CCC[C@](C)([C@H]1CC[C@@]2([C@@H]1CC[C@H]3[C@]2(CC[C@@H]4[C@@]3(CCC(=O)C4(C)C)C)C)C)O)C</t>
  </si>
  <si>
    <t>C[C@]12CC[C@@H](C([C@@H]1CC[C@@]3([C@@H]2CC=C4[C@]3(CC[C@@]5([C@H]4CC(CC5)(C)C)C(=O)O)C)C)(C)C)O</t>
  </si>
  <si>
    <t>CCC(CCCCCCCCCCCCC(=O)O)O</t>
  </si>
  <si>
    <t>CCCCOC(=O)/C=C/C1=CC=C(C=C1)O</t>
  </si>
  <si>
    <t>CC=C(C)COC(=O)/C=C/C1=CC(=C(C=C1)O)O</t>
  </si>
  <si>
    <t>CCN</t>
  </si>
  <si>
    <t>CCC(C)C(=O)[O-]</t>
  </si>
  <si>
    <t>CCCCCCCCCCCCCCCCCCCCCCCCOC(=O)CCCCCCCCCCCCCCC</t>
  </si>
  <si>
    <t>CCCCCCCCCCCCCCCCCCCCCCCCCCOC(=O)CCCCCCCCCCCCCCC</t>
  </si>
  <si>
    <t>CC(C)C1=C(C=C2C(=C1)CCC3C2(CCC(=O)C3(C)C)C)O</t>
  </si>
  <si>
    <t>CC(C)C1=C(C=C2C(=C1)C(=O)C[C@@H]3[C@@]2(CCCC3(C)C)C)O</t>
  </si>
  <si>
    <t>CC(C)C1=C(C=C2C(=C1)CC[C@@H]3[C@@]2(CC[C@@H](C3(C)C)O)C)O</t>
  </si>
  <si>
    <t>C[C@H]1[C@@H]2[C@H]3CC[C@@H]4[C@]5(CC[C@@H](C([C@@H]5CC[C@]4([C@@]3(CC[C@]2(CCC1=C)C)C)C)(C)C)O)C</t>
  </si>
  <si>
    <t>C[C@@H]1CC[C@@]2(CC[C@@]3(C(=CC[C@H]4[C@]3(CC[C@@H]5[C@@]4(CC[C@@H](C5(C)C)O)C)C)[C@@H]2[C@H]1C)C)C</t>
  </si>
  <si>
    <t>C[C@@]12CC[C@@]3(C(=CC[C@H]4[C@]3(CC[C@@H]5[C@@]4(CCC(=O)C5(C)C)C)C)[C@@H]1CC(CC2)(C)C)C</t>
  </si>
  <si>
    <t>C[C@@]12CC[C@@]3(C(=CC[C@H]4[C@]3(CC[C@@H]5[C@@]4(CC[C@@H](C5(C)C)O)C)C)[C@@H]1CC(CC2)(C)C)C</t>
  </si>
  <si>
    <t>C[C@@]12CC[C@@]3(C(=C1CC(CC2)(C)C)CC[C@H]4[C@]3(CC[C@@H]5[C@@]4(CCC(=O)C5(C)C)C)C)C</t>
  </si>
  <si>
    <t>CC(CCC=C(C)C)C1CCC2(C1(CCC34C2CCC5C3(C4)CCC(C5(C)C)OC(=O)C)C)C</t>
  </si>
  <si>
    <t>C1C(OC2=C(C1=O)C=CC(=C2)O)C3=CC=CC=C3</t>
  </si>
  <si>
    <t>COC1=C(C=CC2=C1OC(CC2=O)C3=CC=CC=C3)O</t>
  </si>
  <si>
    <t>COC1=C(C=CC2=C1OC(=C(C2=O)O)C3=CC=CC=C3)O</t>
  </si>
  <si>
    <t>COC1=C(C2=C(C(=C1)O)C(=O)C(=C(O2)C3=CC=CC=C3)O)OC</t>
  </si>
  <si>
    <t>C1=CC=C(C=C1)C2=C(C(=O)C3=C(O2)C=C(C=C3)O)O</t>
  </si>
  <si>
    <t>C1C(OC2=C(C1=O)C=CC(=C2O)O)C3=CC=CC=C3</t>
  </si>
  <si>
    <t>COC1=CC(=CC(=C1O)OC)CC=C</t>
  </si>
  <si>
    <t>C/C=C\C1=CC(=C(C=C1OC)OC)OC</t>
  </si>
  <si>
    <t>COC1=CC=C(C=C1)C2=COC3=C(C2=O)C=CC(=C3)O</t>
  </si>
  <si>
    <t>COC1=C(C=CC(=C1)O)C2CC3=C(C=C(C=C3)O)OC2</t>
  </si>
  <si>
    <t>COC1=CC=C(C=C1)C2=COC3=CC(=CC(=C3C2=O)O)O</t>
  </si>
  <si>
    <t>COC1=CC(=C(C=C1)[C@H]2COC3=C(C2=O)C=CC(=C3)O)O</t>
  </si>
  <si>
    <t>COC1=CC(=C(C=C1)[C@H]2COC3=CC(=CC(=C3C2=O)O)O)O</t>
  </si>
  <si>
    <t>CC(=CC[C@H]1C[C@]2(C(=O)/C(=C(/C3=CC(=C(C=C3)O)O)\O)/C(=O)[C@](C2=O)(C1(C)C)CC=C(C)C)C[C@@H](CC=C(C)C)C(=C)C)C</t>
  </si>
  <si>
    <t>CC(=CC[C@H]1C[C@]2(C(=O)/C(=C(\C3=CC(=C(C=C3)O)O)/O)/C(=O)[C@](C2=O)(C1(C)C)CC=C(C)C)C[C@@H](CC=C(C)C)C(=C)C)C</t>
  </si>
  <si>
    <t>CC(=CC[C@H]1C[C@]2(C(=O)C(=C(C3=CC(=C(C=C3)O)O)O)C(=O)[C@](C2=O)(C1(C)C)CC=C(C)C)C[C@@H](CC=C(C)C)C(=C)C)C</t>
  </si>
  <si>
    <t>CC(=CC[C@H]1C[C@]2(C(=O)/C(=C(/C3=CC(=C(C=C3)O)O)\O)/C(=O)[C@](C2=O)(C1(C)C)CC=C(C)C)C[C@@H](CCC(=C)C)C(=C)C)C</t>
  </si>
  <si>
    <t>CC(=CCC1CC2(C(=O)/C(=C(\C3=CC(=C(C=C3)O)O)/O)/C(=O)C(C2=O)(C1(C)C)CC=C(C)C)CC(CCC(=C)C)C(=C)C)C</t>
  </si>
  <si>
    <t>CC(=CC[C@H]1C[C@]2(C(=O)/C(=C(\C3=CC(=C(C=C3)O)O)/O)/C(=O)[C@](C2=O)(C1(C)C)CC=C(C)C)C[C@@H](CCC(=C)C)C(=C)C)C</t>
  </si>
  <si>
    <t>CC(=CC[C@H]1C[C@]2(C(=O)C(=C(C3=CC(=C(C=C3)O)O)O)C(=O)[C@](C2=O)(C1(C)C)CC=C(C)C)C[C@@H](CCC(=C)C)C(=C)C)C</t>
  </si>
  <si>
    <t>CC(=CCC1CC2(C(=O)/C(=C(/C3=CC(=C(C=C3)O)O)\O)/C(=O)C(C2=O)(C1(C)C)CC=C(C)C)CC(CCC(=C)C)C(=C)C)C</t>
  </si>
  <si>
    <t>C1C(C[C@H](C([C@@H]1OC(=O)/C=C/C2=CC(=C(C=C2)O)O)O)OC(=O)/C=C/C3=CC(=C(C=C3)O)O)(O)C(=O)O</t>
  </si>
  <si>
    <t>CCCCCCCC(=O)C</t>
  </si>
  <si>
    <t>CC1=CC[C@H]2[C@H]3C1[C@]2(CC[C@H]3C(C)C)C</t>
  </si>
  <si>
    <t>CC1=CC[C@H]2[C@H]3[C@@H]1[C@@]2(CC[C@H]3C(C)C)C</t>
  </si>
  <si>
    <t>C[C@@H]1CC[C@H]([C@H]2[C@]13[C@@H]2C(=CC3)C)C(C)C</t>
  </si>
  <si>
    <t>CC(=CCC/C(=C/C/C=C(\C)/C=C)/C)C</t>
  </si>
  <si>
    <t>CC1=C[C@H]2C[C@@H](C1)C2(C)C</t>
  </si>
  <si>
    <t>CC(C)[C@@H]1CC[C@]2([C@@H]1[C@H]3[C@@H]2CCC3=C)C</t>
  </si>
  <si>
    <t>CC(C)[C@@H]1CC[C@@]2([C@H]1[C@@H]3[C@H]2CCC3=C)C</t>
  </si>
  <si>
    <t>CC1=CCC(CC1)C(=C)C</t>
  </si>
  <si>
    <t>C1[C@H]([C@@H]([C@@H](C[C@]1(C(=O)O)O)OC(=O)/C=C/C2=CC(=C(C=C2)O)O)OC(=O)/C=C/C3=CC(=C(C=C3)O)O)O</t>
  </si>
  <si>
    <t>C1[C@H]([C@@H]([C@@H](C[C@]1(C(=O)[O-])O)OC(=O)/C=C/C2=CC(=C(C=C2)O)O)OC(=O)/C=C/C3=CC(=C(C=C3)O)O)O</t>
  </si>
  <si>
    <t>C1=CC(=CC=C1[C@@H]2[C@H](C(=O)C3=C(C=C(C=C3O2)O)O)O)O</t>
  </si>
  <si>
    <t>C[C@H]([C@H]1/C=C/C=C\C(=O)O[C@@H]2C[C@@H]3[C@]4([C@]2([C@]5(CC[C@@]6([C@H]([C@H]5O3)O6)C)COC(=O)[C@@H]7[C@](O7)([C@H](CO1)O)C)C)CO4)O</t>
  </si>
  <si>
    <t>CC(C1C=C/C=C/C(=O)OC2CC3C4(C2(C5(CCC6(C(C5O3)O6)C)COC(=O)C7C(O7)(C(CO1)O)C)C)CO4)O</t>
  </si>
  <si>
    <t>C[C@H]([C@H]1/C=C/C=C\C(=O)O[C@@H]2C[C@@H]3[C@]4([C@]2(C5(CCC6([C@H]([C@H]5O3)O6)C)COC(=O)[C@@H]7[C@](O7)([C@H](CO1)O)C)C)CO4)O</t>
  </si>
  <si>
    <t>CC(C1/C=C\C=C/C(=O)OC2CC3C4(C2(C5(CCC6(C(C5O3)O6)C)COC(=O)C7C(O7)(C(CO1)O)C)C)CO4)O</t>
  </si>
  <si>
    <t>CC/C=C\C/C=C\C/C=C\CCCCCCCC(=O)O</t>
  </si>
  <si>
    <t>CC1=C(C2=C(C(=C1OC)C)OC(=CC2=O)C3=CC=C(C=C3)O)O</t>
  </si>
  <si>
    <t>C[C@H](CC[C@@H](C)C(C)C)[C@H]1CC[C@@H]2[C@@]1(CC[C@H]3[C@H]2CC=C4[C@@]3(CC[C@@H](C4)O)C)C</t>
  </si>
  <si>
    <t>CC[C@H](/C=C/[C@@H](C)[C@H]1CC[C@@H]2[C@@]1(CC[C@H]3[C@H]2CC=C4[C@@]3(CC[C@@H](C4)O)C)C)C(C)C</t>
  </si>
  <si>
    <t>CC1=C(C2=C(CC[C@@](O2)(C)CCC[C@H](C)CCC[C@H](C)CCCC(C)C)C(=C1O)C)C</t>
  </si>
  <si>
    <t>CC1=C(C2=C(CCC(O2)(C)CCCC(C)CCCC(C)CCCC(C)C)C(=C1O)C)C</t>
  </si>
  <si>
    <t>CC1=CC=C(C=C1)C(=O)O</t>
  </si>
  <si>
    <t>C1=CC(=C(C=C1C2=C(C(=O)C3=C(C=C(C=C3O2)O)O)O[C@H]4[C@@H]([C@H]([C@@H]([C@H](O4)CO)O)O)O)O)[O-]</t>
  </si>
  <si>
    <t>C1=CC(=CC=C1/C=C/C(=O)C2=C(C=C(C=C2)O)O)O</t>
  </si>
  <si>
    <t>COC1=CC2=C(C=C1)C(=O)C(=CO2)C3=CC=C(C=C3)O</t>
  </si>
  <si>
    <t>CC(=CC[C@@]12C[C@H](C([C@]3(C1=O)C[C@@H](OC3=C(C2=O)C(=O)C4=CC=CC=C4)C(C)(C)O)(C)C)/C=C/C(C)(C)O)C</t>
  </si>
  <si>
    <t>C1=CC(=CC=C1CCC(=O)C2=C(C=C(C(=C2)C3=C(C=CC(=C3)CCC(=O)C4=C(C=C(C=C4)O)O)O)O)O)O</t>
  </si>
  <si>
    <t>CC(=CC[C@@H]1C[C@@]2(C(=O)/C(=C(/C3=CC(=C(C=C3)O)O)\O)/C(=O)[C@@](C2=O)(C1(C)C)CC=C(C)C)C[C@@H](CC=C(C)C)C(=C)C)C</t>
  </si>
  <si>
    <t>CC(=CCC[C@@]1([C@H](C[C@]2(C(=O)/C(=C(/C3=CC(=C(C=C3)O)O)\O)/C(=O)[C@@]1(C2=O)CC=C(C)C)CC(CCC(=C)C)C(=C)C)CC=C(C)C)C)C</t>
  </si>
  <si>
    <t>CC(=CCC/C(=C/C[C@@H]1C[C@@]2(C(=O)/C(=C(/C3=CC(=C(C=C3)O)O)\O)/C(=O)[C@@](C2=O)(C1(C)C)CC=C(C)C)C/C=C(\C)/CCC=C(C)C)/C)C</t>
  </si>
  <si>
    <t>CC(=CCC/C(=C/CC1C[C@]2(C(=O)/C(=C(/C3=CC(=C(C=C3)O)O)\O)/C(=O)[C@](C2=O)(C1(C)C)CC=C(C)C)C/C=C(\C)/CCC=C(C)C)/C)C</t>
  </si>
  <si>
    <t>CC1=CCC(C=C1)C(C)(C)O</t>
  </si>
  <si>
    <t>CC1=CCC(CC1)(C(C)C)O</t>
  </si>
  <si>
    <t>CC1=CC=CC(CC1=O)(C)C</t>
  </si>
  <si>
    <t>C[C@@H]1CC[C@@H](C2=CC(=C)CC[C@@H]12)C(C)C</t>
  </si>
  <si>
    <t>C[C@H]1CC[C@@H](C2=C1CCC(=C2)C)C(C)C</t>
  </si>
  <si>
    <t>C[C@H]1CC[C@@H](C2=CC(=C)CCC12)C(C)C</t>
  </si>
  <si>
    <t>CC(C)[C@@H]1CC[C@@]2([C@H]1CC(=C)CCC2=O)C</t>
  </si>
  <si>
    <t>C[C@@H]1CC[C@@H]2[C@]13CC[C@]([C@H](C3)C2(C)C)(C)O</t>
  </si>
  <si>
    <t>COC1=CC=C(C=C1)CC=C</t>
  </si>
  <si>
    <t>COC1=C(C=C(C=C1)CC=C)OC</t>
  </si>
  <si>
    <t>COC1=CC(=CC(=C1OC)OC)CC=C</t>
  </si>
  <si>
    <t>COC1=CC=CC(=C1)O</t>
  </si>
  <si>
    <t>C1C(C(=O)C2=C(C=C(C=C2O1)O)O)C3=C(C=C(C=C3)O)O</t>
  </si>
  <si>
    <t>CC1=CC(=CC(=C1C(=O)OC2=CC(=C(C(=C2)C)C(=O)O)O)O)OC</t>
  </si>
  <si>
    <t>COC1=CC(=C(C=C1)[C@@H]2CC3=C(C=C(C=C3)OC)OC2)O</t>
  </si>
  <si>
    <t>C[C@H]1[C@@H]([C@H]([C@H]([C@@H](O1)C2=C3C(=C(C(=C2O)[C@H]4[C@@H]([C@H]([C@@H]([C@H](O4)CO)O)O)O)O)C(=O)C=C(O3)C5=CC=C(C=C5)O)O)O)O</t>
  </si>
  <si>
    <t>C[C@H]1[C@@H]([C@H]([C@H]([C@@H](O1)OC2=CC(=CC(=C2O)O)C3=C(C(=O)C4=C(C=C(C=C4O3)O)O)O)O)O)O</t>
  </si>
  <si>
    <t>C1[C@H]([C@H]([C@@H](C[C@@]1(C(=O)O)O)OC(=O)/C=C/C2=CC(=C(C=C2)O)O)OC(=O)/C=C/C3=CC(=C(C=C3)O)O)O</t>
  </si>
  <si>
    <t>C1[C@@H](OC2=CC(=CC(=C2C1=O)O)O)C3=CC=CC=C3</t>
  </si>
  <si>
    <t>COC1=C(C=CC(=C1)/C=C\C(=O)O)O</t>
  </si>
  <si>
    <t>COC1=C(C=C(C=C1)C(=O)O)OC</t>
  </si>
  <si>
    <t>CC(=C)[C@@H]1CC[C@]2([C@H]1[C@H]3CC[C@@H]4[C@]5(CC[C@@H](C([C@@H]5CC[C@]4([C@@]3(CC2)C)C)(C)C)OC(=O)C)C)C</t>
  </si>
  <si>
    <t>CC1(C=CC2=C(O1)C=CC(=C2)C=CC(=O)O)C</t>
  </si>
  <si>
    <t>CC(=CCC(CC=C(C)C)C(=O)C1=CC=CC=C1)C</t>
  </si>
  <si>
    <t>CCC1=CC=CC=C1O</t>
  </si>
  <si>
    <t>CC1=CCC(CC1)C(C)(C)O</t>
  </si>
  <si>
    <t>COC1=CC=C(C=C1)C(=O)[O-]</t>
  </si>
  <si>
    <t>C/C/1=C\CC(/C=C/C/C(=C/CC1)/C)(C)C</t>
  </si>
  <si>
    <t>COC(=O)CCC1=CC=CC=C1</t>
  </si>
  <si>
    <t>CC(C)C[C@@H](C(=O)N[C@@H](C[C@@H]1CCNC1=O)C(=O)S)NC(=O)CCC2=CC=CC=C2</t>
  </si>
  <si>
    <t>COC(=O)C1=CC=C(C=C1)O</t>
  </si>
  <si>
    <t>CCCOC(=O)C1=CC=C(C=C1)O</t>
  </si>
  <si>
    <t>CCCCCCCCCCCCCCCCCCCCCCCCCOC(=O)CCCCCCCCCCCCCCC</t>
  </si>
  <si>
    <t>CCCCCCCCCCCCCCCCCCCCCCCCCCCCOC(=O)CCCCCCCCCCCCCCC</t>
  </si>
  <si>
    <t>CCCCCCCCCCCCCCCCCCCCCCCCCCCCCCOC(=O)CCCCCCCCCCCCCCC</t>
  </si>
  <si>
    <t>CCCCCCCCCCCCCCCCCCCCCCCCCCCCCCCCOC(=O)CCCCCCCCCCCCCCC</t>
  </si>
  <si>
    <t>CCCCCCCCCCCCCCCCCCCCCCCCCCCCCCCCCCOC(=O)CCCCCCCCCCCCCCC</t>
  </si>
  <si>
    <t>COC1=C(C=CC(=C1)CCC(=O)O)O</t>
  </si>
  <si>
    <t>CC(=CC/C(=C(/CC=C(C)C)\C(=O)O)/C1=CC=C(C=C1)O)C</t>
  </si>
  <si>
    <t>COC1=C(C=CC(=C1)CO)O</t>
  </si>
  <si>
    <t>C1=CC=C(C=C1)C2=C(C(=O)C3=C(O2)C=C(C(=C3O)O)O)O</t>
  </si>
  <si>
    <t>CC/C=C/C(=O)C</t>
  </si>
  <si>
    <t>CCCCCCCCCCCCCCCCCCCCCCCCCCCCCCCCC</t>
  </si>
  <si>
    <t>CCCCCCCCCCCCCCCCCCCCCCCCCCCCCCCCCC</t>
  </si>
  <si>
    <t>CCCCCCCCCCCCCCCCCCCCCCCCCCCCCCCCCCC</t>
  </si>
  <si>
    <t>CCCCCCCCCCCCCCCCCCCCCCCCCCCCCCCCCCCC</t>
  </si>
  <si>
    <t>CCCCCCCCCCCCCCCCCCCCCCCCCCCCCCCCCCCCCCC</t>
  </si>
  <si>
    <t>CCCCCCCCCCCCCCCCCCCCCOC(=O)CCCCCCCCCCCCCCC</t>
  </si>
  <si>
    <t>C1=CC=C(C=C1)C2=C(C(=O)C3=CC=CC=C3O2)OC(O)(O)O</t>
  </si>
  <si>
    <t>CCCCCCCCCCCCCCCCCC(=O)OC(C)C</t>
  </si>
  <si>
    <t>C1C(OC2=CC(=CC(=C2C1=O)O)O)C3=CC=CC=C3</t>
  </si>
  <si>
    <t>C(C(C(=O)O)O)O</t>
  </si>
  <si>
    <t>C[C@H](CCCC(C)C)[C@H]1CC[C@@H]2[C@@]1(CC[C@H]3[C@H]2CC=C4[C@@]3(CCC(C4)O)C)C</t>
  </si>
  <si>
    <t>C[C@H](CCCC(C)C)[C@H]1CC[C@@H]2[C@@]1(CC[C@H]3[C@H]2CC=C4[C@@]3(CC[C@@H](C4)O)C)C</t>
  </si>
  <si>
    <t>CC(C)CCCC(C)C1CCC2C1(CCC3C2CC=C4C3(CCC(C4)O)C)C</t>
  </si>
  <si>
    <t>C[C@H](CCCC(C)C)[C@H]1CCC2[C@@]1(CCC3[C@H]2CC=C4[C@@]3(CC[C@@H](C4)O)C)C</t>
  </si>
  <si>
    <t>CC[C@H](CC[C@@H](C)[C@H]1CC[C@@H]2[C@@]1(CC[C@H]3[C@H]2CC=C4[C@@]3(CCC(C4)O)C)C)C(C)C</t>
  </si>
  <si>
    <t>CCCCCCCCCCCCCCCCCCCCCCCCCCCCCC(=O)O</t>
  </si>
  <si>
    <t>CCCCCCCCCCCCCCCCCCCCCCCCCCCCCCCC(=O)O</t>
  </si>
  <si>
    <t>CCCCCCCCCCCCCCCCCCCCCCCCCCCCCCCCCC(=O)O</t>
  </si>
  <si>
    <t>CC(=O)C1=C(C=C2C=C(OC2=C1)C3=CO[C@H]([C@@H](C3)COC(=O)C)C4=CC(=C(C=C4)O)OC)O</t>
  </si>
  <si>
    <t>CC1(C=CC2=C(O1)C=CC(=C2)C(=O)O)C</t>
  </si>
  <si>
    <t>COC1=CC=C(C=C1)C2=C(C(=O)C3=C(O2)C=C(C(=C3O)OC)O)O</t>
  </si>
  <si>
    <t>COC1=CC=C(C=C1)C2=C(C(=O)C3=C(C=C(C=C3O2)O)O)OC</t>
  </si>
  <si>
    <t>C/C(=C\C(=O)O)/CC[C@H]1C(=C)CC[C@@H]2[C@@]1(CCC[C@]2(C)C(=O)O)C</t>
  </si>
  <si>
    <t>C/C(=C\C(=O)O)/CCC1C(=C)CCC2C1(CCCC2(C)C(=O)O)C</t>
  </si>
  <si>
    <t>C/C(=C\C(=O)O)/CC[C@@H]1C(=C)CC[C@H]2[C@]1(CCC[C@@]2(C)C(=O)O)C</t>
  </si>
  <si>
    <t>CC(=CCC1=C(C=CC(=C1)C=CC(=O)O)OC(=O)CCC2=CC=CC=C2)C</t>
  </si>
  <si>
    <t>C[C@@]12CC[C@]3(CCC(C=C3[C@H]1CC[C@H]4[C@]2(CC[C@@H]5[C@@]4(CCC(=O)C5(C)C)C)C)(C)C)C(=O)O</t>
  </si>
  <si>
    <t>CC(=C)[C@@H]1CC[C@]2([C@H]1[C@H]3CC[C@@H]4[C@]5(CCC(=O)C([C@@H]5CC[C@]4([C@@]3(CC2)C)C)(C)C)C)C(=O)O</t>
  </si>
  <si>
    <t>C[C@H](CC/C=C(/C)\C(=O)O)[C@H]1CC[C@@]2([C@@]1(CCC3=C2CC[C@@H]4[C@@]3(CCC(=O)C4(C)C)C)C)C</t>
  </si>
  <si>
    <t>CCC(=O)C1=CC(=C(C=C1)O)OC</t>
  </si>
  <si>
    <t>C[C@]12CCC(=O)C([C@@H]1CC[C@@]3([C@@H]2C=C[C@@]45[C@]3(CC[C@@]6([C@H]4CC(CC6)(C)C)C(=O)O5)C)C)(C)C</t>
  </si>
  <si>
    <t>CC(=O)C1=CC2=C(C=C1)O[C@H](C2)C(=C)COC(=O)C</t>
  </si>
  <si>
    <t>CC1(C=CC2=C(O1)C=CC(=C2)C=C)C</t>
  </si>
  <si>
    <t>CC(=CCC1=CC(=CC2=C1OC(C=C2)(C)C)C=CC(=O)O)C</t>
  </si>
  <si>
    <t>CC1([C@@H]2CC=C([C@H]1C2)CO)C</t>
  </si>
  <si>
    <t>C[C@@H]1CC[C@H]2[C@@H]1[C@H]3[C@H](C3(C)C)CC[C@]2(C)O</t>
  </si>
  <si>
    <t>CC(C)[C@@H]1CC[C@]2([C@@H]3[C@H]1C2C(=C)CC3)C</t>
  </si>
  <si>
    <t>C/C/1=C\CCC(=C)/C=C/[C@@H](CC1)C(C)C</t>
  </si>
  <si>
    <t>C/C/1=C/CCC(=C)/C=C\C(CC1)C(C)C</t>
  </si>
  <si>
    <t>C/C/1=C\CCC(=C)/C=C/C(CC1)C(C)C</t>
  </si>
  <si>
    <t>CC1=CCCC(=C)C=CC(CC1)C(C)C</t>
  </si>
  <si>
    <t>C/C/1=C/CCC(=C)/C=C\[C@@H](CC1)C(C)C</t>
  </si>
  <si>
    <t>CC1=CCCC(=C)/C=C/[C@@H](CC1)C(C)C</t>
  </si>
  <si>
    <t>C/C/1=C\CCC(=C)/C=C/[C@H](CC1)C(C)C</t>
  </si>
  <si>
    <t>C/C/1=C\CCC(=C)C=CC(CC1)C(C)C</t>
  </si>
  <si>
    <t>C(CC(=O)O)CN</t>
  </si>
  <si>
    <t>CC(=O)[O-]</t>
  </si>
  <si>
    <t>C([C@@H]([C@@H]1C(=C(C(=O)O1)O)O)O)O</t>
  </si>
  <si>
    <t>C(C(=O)O)C(CC(=O)O)(C(=O)O)O</t>
  </si>
  <si>
    <t>C([C@@H]1[C@H]([C@@H]([C@](O1)(CO)O)O)O)O</t>
  </si>
  <si>
    <t>C[C@@H](C(=O)O)O</t>
  </si>
  <si>
    <t>C(C(C(=O)O)O)(C(=O)O)O</t>
  </si>
  <si>
    <t>[C@@H]([C@H](C(=O)O)O)(C(=O)O)O</t>
  </si>
  <si>
    <t>[C@H]([C@@H](C(=O)O)O)(C(=O)O)O</t>
  </si>
  <si>
    <t>COC1=C(C=C(C=C1)/C=C/C(=O)O[Si](C)(C)C)OC</t>
  </si>
  <si>
    <t>COC1=CC2=C(C=C1)C3COC4=C(C3O2)C=CC(=C4O)O</t>
  </si>
  <si>
    <t>CC(=C)C1CCC2(C1C3CCC4C5(CCC(C(C5CCC4(C3(CC2)C)C)(C)C)OC(=O)C)C)C</t>
  </si>
  <si>
    <t>CC(=C)[C@@H]1CC[C@]2([C@H]1[C@H]3CC[C@@H]4[C@]5(CCC(C([C@@H]5CC[C@]4([C@@]3(CC2)C)C)(C)C)OC(=O)C)C)C</t>
  </si>
  <si>
    <t>C[Si](C)(C)OC(=O)C(C(=O)O[Si](C)(C)C)(O[Si](C)(C)C)O[Si](C)(C)C</t>
  </si>
  <si>
    <t>CC(=CCC/C(=C/CC/C(=C/CC/C(=C/CC/C(=C/CC/C(=C/CC/C(=C/CC/C(=C/CC/C(=C/CO)/C)/C)/C)/C)/C)/C)/C)/C)C</t>
  </si>
  <si>
    <t>COC1=C(C(=C(C=C1)[C@H]2COC3=C(C2=O)C=CC(=C3)O)OC)O</t>
  </si>
  <si>
    <t>CC(=O)C1=C(C=C2C[C@@H](OC2=C1)C(=C)CO)O</t>
  </si>
  <si>
    <t>CC(=CCC1=C(C(=CC(=C1)/C=C/C(=O)O)O)O)C</t>
  </si>
  <si>
    <t>C[C@@]12CC[C@@]3(C(=CC[C@H]4[C@]3(CCC5[C@@]4(CCC(=O)C5(C)C)C)C)[C@H]1CC(CC2)(C)C)C</t>
  </si>
  <si>
    <t>CC(C)CCCC(C)C1CCC2(C1(CCC34C2=CCC5C3(C4)CCC(C5(C)C)O)C)C</t>
  </si>
  <si>
    <t>C[C@@]12CC[C@@]3([C@@H](C1=CC(CC2)(C)C)CC[C@H]4[C@]3(CC[C@@H]5[C@@]4(CC[C@@H](C5(C)C)O)C)C)C</t>
  </si>
  <si>
    <t>CC(=C)[C@@H]1CC[C@]2([C@H]1[C@H]3CC[C@@H]4[C@]5(CC[C@@H](C([C@@H]5CC[C@]4([C@@]3(CC2)C)C)(C)C)O)C)CO</t>
  </si>
  <si>
    <t>CC(=O)OC1CCC2(C(C1(C)C)CCC3(C2CC=C4C3(CCC5(C4CC(CC5)(C)C)C)C)C)C</t>
  </si>
  <si>
    <t>C1[C@H](C([C@@H](CC1(C(=O)O)O)O)O)O</t>
  </si>
  <si>
    <t>CC(C)O</t>
  </si>
  <si>
    <t>COC1=CC2=C(CC(CO2)C3=C(C=C(C=C3)O)O)C=C1</t>
  </si>
  <si>
    <t>CC(=CCC/C(=C/C[C@@H]1C[C@@]2(C(=O)/C(=C(/C3=CC(=C(C=C3)O)O)\O)/C(=O)[C@@](C2=O)(C1(C)C)CC=C(C)C)CC=C(C)C)/C)C</t>
  </si>
  <si>
    <t>C1[C@H]([C@@H]([C@@H](C[C@]1(C(=O)O)OC(=O)/C=C/C2=CC(=C(C=C2)O)O)OC(=O)/C=C/C3=CC(=C(C=C3)O)O)O)O</t>
  </si>
  <si>
    <t>C1[C@@H]([C@@H]([C@H]([C@@H](O1)OC[C@@H]2[C@H]([C@@H]([C@H]([C@@H](O2)OC3=C(OC4=CC(=CC(=C4C3=O)O)O)C5=CC(=C(C=C5)O)O)O)O)O)O)O)O</t>
  </si>
  <si>
    <t>CC(=CCC1=CC(=CC2=C1OC(C=C2)(C)C)/C=C/C(=O)O)C</t>
  </si>
  <si>
    <t>C[C@H]1[C@@H]([C@H]([C@H]([C@@H](O1)OC2=C(C(=C3C(=C2)OC(=CC3=O)C4=CC(=C(C=C4)O)O)O)OC)O)O)O</t>
  </si>
  <si>
    <t>COC1=CC(=C(C=C1[C@@H](C=C)C2=CC=CC=C2)O)OC</t>
  </si>
  <si>
    <t>COC1=CC(=CC2=C1C(=O)C=C(O2)C3=CC=C(C=C3)O)O</t>
  </si>
  <si>
    <t>CC1CCC2CC3=C(CCC13C2(C)C)C</t>
  </si>
  <si>
    <t>C[C@@H]1CC[C@H]2[C@@H]1C3C(C3(C)C)CCC2=C</t>
  </si>
  <si>
    <t>CC1CCC(C=C2C1CCC2C)C(=C)C</t>
  </si>
  <si>
    <t>CC1=C[C@@H]2[C@H](CC1)C(=C)CC[C@H]2C(C)C</t>
  </si>
  <si>
    <t>CC(=C)C1CCC2(C1C3CCC4C5(CCC(C(C5CCC4(C3(CC2)C)C)(C)C)O)C)C</t>
  </si>
  <si>
    <t>CC(=C)[C@@H]1CC[C@]2([C@H]1[C@H]3CC[C@@H]4[C@]5(CCC(C([C@@H]5CC[C@]4([C@@]3(CC2)C)C)(C)C)O)C)C</t>
  </si>
  <si>
    <t>COC1=C(C2=C(C=C1O)O[C@@H]([C@H](C2=O)O)C3=CC=CC=C3)O</t>
  </si>
  <si>
    <t>CC(C)(C=C)O</t>
  </si>
  <si>
    <t>CC1C=CC2(C1C2)C(C)C</t>
  </si>
  <si>
    <t>CC(=CC=O)C</t>
  </si>
  <si>
    <t>CC(C)C1=CC=CC=C1</t>
  </si>
  <si>
    <t>CC1=CC(=CC(=C1)C)C</t>
  </si>
  <si>
    <t>CC1=NC(=NC(=N1)N(C)C)N</t>
  </si>
  <si>
    <t>CC(C)CC(=O)O</t>
  </si>
  <si>
    <t>CCCCCCCCCCCCCCCCO</t>
  </si>
  <si>
    <t>CCCCCCCCCCCCCCCCCCCO</t>
  </si>
  <si>
    <t>C1=CC=C(C=C1)COC(=O)C=CC2=CC=CC=C2</t>
  </si>
  <si>
    <t>C1=CC=C(C=C1)COC(=O)/C=C\C2=CC=CC=C2</t>
  </si>
  <si>
    <t>CC1([C@H]2C[C@@H]1C(=C)[C@@H](C2)O)C</t>
  </si>
  <si>
    <t>CC1(C(CCC(O1)(C)C=C)O)C</t>
  </si>
  <si>
    <t>CC(=C)C1CCC2(OC(C1)OO2)C</t>
  </si>
  <si>
    <t>CC1=CCC(CC1)(C(C)C)OC(=O)C</t>
  </si>
  <si>
    <t>CC1=CC(=O)C(=CC1=O)C(C)C</t>
  </si>
  <si>
    <t>COC1=C(C=C(C=C1)CC=C)O</t>
  </si>
  <si>
    <t>C[C@]12CCCC([C@@H]3[C@H]1CC[C@@H]3C2=C)(C)C</t>
  </si>
  <si>
    <t>C[C@@]12CCCC(C3C1CCC3C2=C)(C)C</t>
  </si>
  <si>
    <t>CC1(CCCC2(C3C1C(C2=C)CC3)C)C</t>
  </si>
  <si>
    <t>C[C@]12CCCC([C@H]3[C@H]1CC[C@@H]3C2=C)(C)C</t>
  </si>
  <si>
    <t>C[C@]12CCCC(C3C1CC[C@@H]3C2=C)(C)C</t>
  </si>
  <si>
    <t>C[C@]12CCCC(C3C1CCC3C2=C)(C)C</t>
  </si>
  <si>
    <t>CC(C)C1CCC2(C3C1C4C2(C4C3)C)C</t>
  </si>
  <si>
    <t>CC(C)[C@H]1CC[C@@]2([C@@H]3[C@H]1[C@H](C2=C)CC3)C</t>
  </si>
  <si>
    <t>CC1CCC2C1CC3CCC2(C=C3C)C</t>
  </si>
  <si>
    <t>C[C@@H]1CC[C@H]2[C@@H]1[C@H]3[C@H](C3(C)C)CCC2=C</t>
  </si>
  <si>
    <t>C[C@@H]1CC[C@H]2[C@H]1[C@H]3[C@H](C3(C)C)CCC2=C</t>
  </si>
  <si>
    <t>CC1CC[C@@H]2[C@H]1[C@@H]3[C@@H](C3(C)C)CCC2=C</t>
  </si>
  <si>
    <t>C[C@H]1CCC=C2[C@@]1(C[C@@H](CC2)C(=C)C)C</t>
  </si>
  <si>
    <t>C[C@@H]1CCC(=C2[C@H]1CCC(=C2)C)C(C)C</t>
  </si>
  <si>
    <t>C[C@]1(CC[C@H]2[C@H]1[C@@H]3[C@@H](C3(C)C)CCC2=C)O</t>
  </si>
  <si>
    <t>CC1=CC(=CC2=C1O[C@@](CC2)(C)CC/C=C(\C)/CC/C=C(\C)/CC/C=C(\C)/C(=O)O)O</t>
  </si>
  <si>
    <t>CC1=CC(=CC2=C1O[C@](CC2)(C)CC/C=C(\C)/CC/C=C(\C)/CC/C=C(\C)/C(=O)O)O</t>
  </si>
  <si>
    <t>CC1=CC(=CC2=C1OC(CC2)(C)CC/C=C(\C)/CC/C=C(\C)/CC/C=C(\C)/C(=O)O)O</t>
  </si>
  <si>
    <t>CC1=CC(=CC2=C1O[C@](CC2)(C)CC/C=C(\C)/CC/C=C(/C)\CC/C=C(/C)\C(=O)O)O</t>
  </si>
  <si>
    <t>CC1=CC(=CC2=C1O[C@](CC2)(C)CC/C=C(\C)/CC/C=C(\C)/CC/C=C(/C)\C(=O)O)O</t>
  </si>
  <si>
    <t>CC1=CC(=CC2=C1OC(CC2)(C)CCC=C(C)CCC=C(C)CCC=C(C)C(=O)O)O</t>
  </si>
  <si>
    <t>C1[C@H]([C@H]([C@@H](C[C@@]1(C(=O)O)O)OC(=O)C=CC2=CC(=C(C=C2)O)O)OC(=O)C=CC3=CC(=C(C=C3)O)O)O</t>
  </si>
  <si>
    <t>C1C(C(C(CC1(C(=O)O)O)OC(=O)C=CC2=CC(=C(C=C2)O)O)OC(=O)C=CC3=CC(=C(C=C3)O)O)O</t>
  </si>
  <si>
    <t>C1C(C(C(CC1(C(=O)O)O)OC(=O)/C=C/C2=CC(=C(C=C2)O)O)OC(=O)/C=C/C3=CC(=C(C=C3)O)O)O</t>
  </si>
  <si>
    <t>C1[C@H]([C@H](C(C[C@@]1(C(=O)O)O)OC(=O)/C=C/C2=CC(=C(C=C2)O)O)OC(=O)/C=C/C3=CC(=C(C=C3)O)O)O</t>
  </si>
  <si>
    <t>C1C(C(C(C[C@@]1(C(=O)O)O)OC(=O)C=CC2=CC(=C(C=C2)O)O)OC(=O)C=CC3=CC(=C(C=C3)O)O)O</t>
  </si>
  <si>
    <t>C1[C@H]([C@H]([C@@H](C[C@]1(C(=O)O)O)OC(=O)/C=C/C2=CC(=C(C=C2)O)O)OC(=O)/C=C/C3=CC(=C(C=C3)O)O)O</t>
  </si>
  <si>
    <t>CC(C)C(=O)O</t>
  </si>
  <si>
    <t>CCCCC(C)C(=O)O</t>
  </si>
  <si>
    <t>CCCCCC(C=C)O</t>
  </si>
  <si>
    <t>CC(C)(/C=C/CC(C)(C=C)O)O</t>
  </si>
  <si>
    <t>COC1=CC=C(C=C1)CO</t>
  </si>
  <si>
    <t>CC\1CC(/C=C(\CCCC(/C=C1)(C)C)/C)O</t>
  </si>
  <si>
    <t>CC(CC=O)O</t>
  </si>
  <si>
    <t>CC(C)CC=O</t>
  </si>
  <si>
    <t>C1=COC(=C1)C=O</t>
  </si>
  <si>
    <t>CCC/C=C/C=O</t>
  </si>
  <si>
    <t>CCCCCCC=O</t>
  </si>
  <si>
    <t>CC(C)C1=CC=C(C=C1)C=O</t>
  </si>
  <si>
    <t>C1=CC=C(C=C1)CCCC=O</t>
  </si>
  <si>
    <t>CC(=C)[C@H]1CCC(=CC1)C=O</t>
  </si>
  <si>
    <t>CCCCCCCCCCC=O</t>
  </si>
  <si>
    <t>CCCCCCCCCCCC=O</t>
  </si>
  <si>
    <t>CC(=O)C</t>
  </si>
  <si>
    <t>CC1=CCC(CC1)C(=O)C</t>
  </si>
  <si>
    <t>C=CC(=O)C1=CC=CC=C1</t>
  </si>
  <si>
    <t>CCCCCCCCCC(=O)C</t>
  </si>
  <si>
    <t>CC1=C(C(=O)CC1)C/C=C\C=C</t>
  </si>
  <si>
    <t>CC(C)COC(=O)C</t>
  </si>
  <si>
    <t>CCC(=O)OCCC(C)C</t>
  </si>
  <si>
    <t>CCCCCC(C=C)OC(=O)C</t>
  </si>
  <si>
    <t>CCCCCCCC(=O)OC</t>
  </si>
  <si>
    <t>COC(=O)CC1=CC=CC=C1</t>
  </si>
  <si>
    <t>CC(=O)OC1CC2CCC1(C2(C)C)C</t>
  </si>
  <si>
    <t>CC(=O)O[C@H]1C[C@H]2CC[C@@]1(C2(C)C)C</t>
  </si>
  <si>
    <t>CC(=O)O[C@@H]1CC2CCC1(C2(C)C)C</t>
  </si>
  <si>
    <t>CC(=O)O[C@H]1CC2CCC1(C2(C)C)C</t>
  </si>
  <si>
    <t>CC(=O)O[C@H]1C[C@H]2CCC1(C2(C)C)C</t>
  </si>
  <si>
    <t>CC(=O)OC1CC2CC[C@]1(C2(C)C)C</t>
  </si>
  <si>
    <t>CC(=O)O[C@@H]1C[C@H]2CC[C@]1(C2(C)C)C</t>
  </si>
  <si>
    <t>CC(=O)OCC1CCC2CC1C2(C)C</t>
  </si>
  <si>
    <t>CC(C)C12CC1C(=C)C=C2</t>
  </si>
  <si>
    <t>CC1(CCCC(=C)C1C=C)C</t>
  </si>
  <si>
    <t>CCC1=CC(=C(C=C1)OC)OC</t>
  </si>
  <si>
    <t>CC1=CCCC(C1=C)(C)C</t>
  </si>
  <si>
    <t>CC1=CCC(=C(C)C)CC1</t>
  </si>
  <si>
    <t>CC1(C2CC(C1=C)C(C2)O)C</t>
  </si>
  <si>
    <t>CC(C)[C@]12CC[C@@]([C@H]1C2)(C)O</t>
  </si>
  <si>
    <t>CC(C)C12CCC(C1C2)(C)O</t>
  </si>
  <si>
    <t>CC(C)[C@@]12CC[C@](C1C2)(C)O</t>
  </si>
  <si>
    <t>CC(C)[C@@]12CC[C@]([C@@H]1C2)(C)O</t>
  </si>
  <si>
    <t>CC1=C[C@H]([C@@H]2C[C@H]1C2(C)C)O</t>
  </si>
  <si>
    <t>C[C@H]1[C@@H]2C[C@@H](C2(C)C)CC1=O</t>
  </si>
  <si>
    <t>CC1=CC[C@H](C[C@@H]1O)C(=C)C</t>
  </si>
  <si>
    <t>CC1(C2CC=C(C1C2)CCO)C</t>
  </si>
  <si>
    <t>CC1CCC2C(C2(C)C)C3=C1CCC3C</t>
  </si>
  <si>
    <t>C[C@H]1CCCC2=CCC(C[C@]12C)C(=C)C</t>
  </si>
  <si>
    <t>C[C@@H]1CC[C@H]([C@H]2[C@]1(CCC(=C2)C)O)C(C)C</t>
  </si>
  <si>
    <t>CC1CCC2C13CC=C(C(C3)C2(C)CO)C</t>
  </si>
  <si>
    <t>CC1CCC2C13CC(C2(C)C)C(=C)C(C3)O</t>
  </si>
  <si>
    <t>C[C@@H]1CC[C@@H]2[C@@]13C[C@H](C2(C)C)C(=C)C(C3)O</t>
  </si>
  <si>
    <t>CC1=C2C=CC(=C2C=C(C=C1)C(C)C)C</t>
  </si>
  <si>
    <t>CCC(C)CCCC(C)CCCC(C)CCCC(C)C</t>
  </si>
  <si>
    <t>CC(=CC[C@H]1C(=C)CC[C@@H]2[C@@]1(CCCC2(C)C)C)C=C</t>
  </si>
  <si>
    <t>CC1(CCCC2(C1CCC34C2CCC(C3)C(=C)C4)C)C</t>
  </si>
  <si>
    <t>C[C@]12CCCC([C@@H]1CC[C@@]([C@@H]2CC[C@](C)(C=C)O)(C)O)(C)C</t>
  </si>
  <si>
    <t>C/C=C(/C)\CCC=C(C)C</t>
  </si>
  <si>
    <t>C1=CC=C(C=C1)CC#N</t>
  </si>
  <si>
    <t>COC1=CC=C(C=C1)C=C</t>
  </si>
  <si>
    <t>CC1=CC(=C(C=C1)C(C)C)OC</t>
  </si>
  <si>
    <t>CCC1=CC(=C(C=C1)O)OC</t>
  </si>
  <si>
    <t>C[C@@]1(CC[C@@H]2[C@]3(CCCC([C@@H]3CC[C@]2(O1)C)(C)C)C)C=C</t>
  </si>
  <si>
    <t>C[C@@]1(CC[C@H]2[C@@]3(CCCC([C@H]3CC[C@@]2(O1)C)(C)C)C)C=C</t>
  </si>
  <si>
    <t>C[C@@]1(CCC2[C@@]3(CCCC(C3CC[C@@]2(O1)C)(C)C)C)C=C</t>
  </si>
  <si>
    <t>C[C@@]1(CCC2[C@]3(CCCC(C3CC[C@]2(O1)C)(C)C)C)C=C</t>
  </si>
  <si>
    <t>CC1(CCCC2(C1CCC3(C2CCC(O3)(C)C=C)C)C)C</t>
  </si>
  <si>
    <t>CCCCC(=O)O</t>
  </si>
  <si>
    <t>CC(C1=CC=CC=C1)O</t>
  </si>
  <si>
    <t>CCCCCCCC(C)O</t>
  </si>
  <si>
    <t>CC(=CC(C=C)C(C)(C)O)C</t>
  </si>
  <si>
    <t>CC1(CCCC(C1)O)C</t>
  </si>
  <si>
    <t>CCCCC/C=C/C=O</t>
  </si>
  <si>
    <t>CCCCCCC/C=C/C=O</t>
  </si>
  <si>
    <t>CCCCCC(=O)C</t>
  </si>
  <si>
    <t>CC1=CC=C(O1)CCC(=O)C</t>
  </si>
  <si>
    <t>CC(C)CCCC(C)CCCC(C)CCCC(=O)C</t>
  </si>
  <si>
    <t>CCCOC(=O)CC</t>
  </si>
  <si>
    <t>CCCC(=O)OC(C)C</t>
  </si>
  <si>
    <t>CC(C)CCOC(=O)C</t>
  </si>
  <si>
    <t>CCCCCOC(=O)CCC</t>
  </si>
  <si>
    <t>CC(C)OC(=O)C1=CC=CC=C1</t>
  </si>
  <si>
    <t>CCCOC(=O)C1=CC=CC=C1</t>
  </si>
  <si>
    <t>CCC(=O)OCCC1=CC=CC=C1</t>
  </si>
  <si>
    <t>C/C/1=C/CCC(=C)[C@H]2CC([C@@H]2CC1)(C)C</t>
  </si>
  <si>
    <t>C[C@@]12CCCC(C1=CC[C@@](CC2)(C)O)(C)C</t>
  </si>
  <si>
    <t>CC1CCC23C1CC(C2(C)C)CCC3C</t>
  </si>
  <si>
    <t>C[C@@H]1CC[C@@H]2[C@]13CC=C([C@H](C3)C2(C)C)CO</t>
  </si>
  <si>
    <t>CC1=C2CCC(=C2CC(CC1)C(C)C)C</t>
  </si>
  <si>
    <t>CC1=CC=CC=C(O1)C</t>
  </si>
  <si>
    <t>CC1(C=CC(=O)O1)C</t>
  </si>
  <si>
    <t>CC1(CC(=O)OC1)C</t>
  </si>
  <si>
    <t>COC1=CC=C(C=C1)OC</t>
  </si>
  <si>
    <t>CC1=CC(=CC(=C1)OC)OC</t>
  </si>
  <si>
    <t>CC1CCC2C13CC(C2(C)C)C(C4C3O4)C</t>
  </si>
  <si>
    <t>CC1C=CC(C2C1CCC(=C)C2OO)C(C)C</t>
  </si>
  <si>
    <t>CC1=CC=C(O1)C=O</t>
  </si>
  <si>
    <t>CC/C=C/C=C/C=O</t>
  </si>
  <si>
    <t>CC1=CC(=O)C2C3C1C2(CCCC3(C)C)C</t>
  </si>
  <si>
    <t>C1=CC=C(C=C1)COC=O</t>
  </si>
  <si>
    <t>CC(C)C(=O)OCC1=CC=CC=C1</t>
  </si>
  <si>
    <t>CC1(C2CCC(C2)C1=O)C</t>
  </si>
  <si>
    <t>CC1(CCCC2(C3C1C4C2(C4C3)C)C)C</t>
  </si>
  <si>
    <t>CC(=C)[C@@H]1C[C@@H](CC[C@@]1(C)C=C)C(C)(C)O</t>
  </si>
  <si>
    <t>C1=CC=C(C=C1)O</t>
  </si>
  <si>
    <t>CC1CCC2(O1)C(=CCCC2(C)C)C</t>
  </si>
  <si>
    <t>CCCCCCCO</t>
  </si>
  <si>
    <t>CC1CC2C(C2(C)C)C(C1)O</t>
  </si>
  <si>
    <t>CCCCCCCC/C=C/C=O</t>
  </si>
  <si>
    <t>C1=CC(=O)C=CC1=O</t>
  </si>
  <si>
    <t>CCCCC/C=C/C(=O)C</t>
  </si>
  <si>
    <t>CC(=CCC/C(=C/CCC(=O)C)/C)C</t>
  </si>
  <si>
    <t>CCCCCCCC(=O)OCC</t>
  </si>
  <si>
    <t>CCCCCC/C=C\CCCCCCCC(=O)OC</t>
  </si>
  <si>
    <t>CCCCCCCCCC#C</t>
  </si>
  <si>
    <t>COC1=CC=CC=C1OC</t>
  </si>
  <si>
    <t>COC1=CC=C(C=C1)C2=COC3=CC(=C(C=C3C2=O)O)O</t>
  </si>
  <si>
    <t>C1=CC=C(C=C1)C(=O)C2=CC=CC=C2</t>
  </si>
  <si>
    <t>CC(=CC[C@H]1C[C@@]2(C(=C(C(=O)[C@@](C2=O)(C1(C)C)C(=O)C3=CC=CC=C3)CC=C(C)C)O)CC=C(C)C)C</t>
  </si>
  <si>
    <t>CCOC(=O)/C=C(/C)\NC</t>
  </si>
  <si>
    <t>C1=CC=C(C=C1)COC2=C(C=C(C=C2)CCN)OCC3=CC=CC=C3.Cl</t>
  </si>
  <si>
    <t>CCCCCCCCCCCCCC=CC=CC1=C(C=CC=C1O)O</t>
  </si>
  <si>
    <t>CCCCCCCCCCCCCCCC=CC1=C(C=CC=C1O)O</t>
  </si>
  <si>
    <t>CC1(CCC2(CCC3(C(=CCC4C3(CCC5C4(CCC(C5(C)C)O)C)C)C2C1)C)C(=O)O)C</t>
  </si>
  <si>
    <t>C[C@@]12CC[C@@H]3[C@@]([C@H]1CC=C4[C@]2(CC[C@@]5([C@H]4CC(CC5)(C)C)C(=O)O)C)(C[C@H]([C@@H](C3(C)C)O)O)C</t>
  </si>
  <si>
    <t>COC1=C(C=C2C(=C1)C=CC(=O)O2)O</t>
  </si>
  <si>
    <t>C(/C(=C\C(=O)O)/C(=O)O)C(=O)O</t>
  </si>
  <si>
    <t>C1=CC(=C(C=C1C2=C(C(=O)C3=C(O2)C=C(C=C3)O)O)O)O</t>
  </si>
  <si>
    <t>C[C@@H]1[C@@H]2CC[C@@]3(C=CC(=O)C(=C3[C@@H]2OC1=O)C)C</t>
  </si>
  <si>
    <t>C[C@@H](CCC[C@@H](C)CCC/C(=C/CO)/C)CCCC(C)C</t>
  </si>
  <si>
    <t>CC(C)CCCC(C)CCCC(C)CCC/C(=C/CO)/C</t>
  </si>
  <si>
    <t>CC(C)CCCC(C)CCCC(C)CCCC(=CCO)C</t>
  </si>
  <si>
    <t>CC(C)CCCC(C)CCCC(C)CCC/C(=C\CO)/C</t>
  </si>
  <si>
    <t>C[C@@H](CCC[C@@H](C)CCCC(=CCO)C)CCCC(C)C</t>
  </si>
  <si>
    <t>CC1=C[C@H]2[C@@H](CC[C@@]([C@@H]2CC1)(C)O)C(C)C</t>
  </si>
  <si>
    <t>C1=CC2=C(C=CC(=C2N)[N+](=O)[O-])N=C1</t>
  </si>
  <si>
    <t>C[C@H](CC/C=C(\C)/CO)[C@H]1CC[C@@]2([C@@]1(CC[C@]34[C@H]2CC[C@@H]5[C@]3(C4)CC[C@@H](C5(C)C)O)C)C</t>
  </si>
  <si>
    <t>COC1=CC(=C2C(=C1)OC(=C(C2=O)OC)C3=CC=C(C=C3)O)O</t>
  </si>
  <si>
    <t>CC(=CCC1=C2C(=CC=C1)OC(=C(C2=O)O)C3=CC=CC=C3)C</t>
  </si>
  <si>
    <t>CC(=CCC1(CC(=O)C2=CC=CC=C2O1)C3=CC=CC=C3)C</t>
  </si>
  <si>
    <t>CC(CCCCCCCCCCCCCC(=O)O)O</t>
  </si>
  <si>
    <t>COC1=CC(=C(C=C1)/C=C/C(=O)O)OC</t>
  </si>
  <si>
    <t>CCCCCCCCCCCCCCCC1=CC(=CC(=C1)O)O</t>
  </si>
  <si>
    <t>CC(CC/C=C(/CO)\C(=O)O)C1CCC2(C1(CCC34C2CCC5C3(C4)CCC(C5(C)C)O)C)C</t>
  </si>
  <si>
    <t>CCCCCC=CCC=CCCCCCCCC(=O)O</t>
  </si>
  <si>
    <t>CCCCC/C=C/C/C=C\CCCCCCCC(=O)O</t>
  </si>
  <si>
    <t>CCC/C=C/CO</t>
  </si>
  <si>
    <t>CCCCCCCCO</t>
  </si>
  <si>
    <t>CC(C)CC(C)(C)C</t>
  </si>
  <si>
    <t>CCCCCCCCCCC</t>
  </si>
  <si>
    <t>CCCCCCCCCC</t>
  </si>
  <si>
    <t>CCC(=O)CC1=CC=CC=C1</t>
  </si>
  <si>
    <t>C=C1C=CC2=CC=CC=C12</t>
  </si>
  <si>
    <t>C[C@@H]1CC[C@@H]([C@H](C1)O)C(C)C</t>
  </si>
  <si>
    <t>CC1CCC(C(C1)O)C(C)C</t>
  </si>
  <si>
    <t>C1=COC(=C1)CO</t>
  </si>
  <si>
    <t>C1CC(=O)C(=O)C1</t>
  </si>
  <si>
    <t>C1=CC=C(C(=C1)C=CC(=O)O)O</t>
  </si>
  <si>
    <t>CC(=CCC1=C(C=CC2=C1OC(=O)C=C2)OC)C</t>
  </si>
  <si>
    <t>COC1=C(C2=C(C=C1O)OC(=C(C2=O)OC)C3=CC=C(C=C3)O)O</t>
  </si>
  <si>
    <t>COC1=C(C2=C(C=C1O)OC(=C(C2=O)O)C3=CC=C(C=C3)O)O</t>
  </si>
  <si>
    <t>COC1=C(C2=C(C=C1O)OC(=CC2=O)C3=CC=C(C=C3)O)O</t>
  </si>
  <si>
    <t>C[C@@H]1CC[C@@H]2CC3=C(CC[C@]13C2(C)C)C</t>
  </si>
  <si>
    <t>C1=CC=C(C(=C1)C=O)O</t>
  </si>
  <si>
    <t>CC1=CC(=CC=C1)C(C)C</t>
  </si>
  <si>
    <t>C[C@]1(CC[C@H](O1)C(C)(C)O)C=C</t>
  </si>
  <si>
    <t>CC1(CCC(O1)C(C)(C)O)C=C</t>
  </si>
  <si>
    <t>C1=CC=C(C=C1)CCC=O</t>
  </si>
  <si>
    <t>COC(=O)C1=CC=CC=C1O</t>
  </si>
  <si>
    <t>C1=CC=C(C=C1)/C=C\C=O</t>
  </si>
  <si>
    <t>C=CCOC(=O)C1=CC=CC=C1</t>
  </si>
  <si>
    <t>CC1=CC(=C(C=C1)O)C(=O)C</t>
  </si>
  <si>
    <t>COC(=O)C(=O)C1=CC=CC=C1</t>
  </si>
  <si>
    <t>CC(=C)CCOC(=O)C1=CC=CC=C1</t>
  </si>
  <si>
    <t>CC1CCC2C1C=C(CC=C2C)C(C)C</t>
  </si>
  <si>
    <t>C[C@H]1CC[C@@H]2[C@H]1C=C(CC=C2C)C(C)C</t>
  </si>
  <si>
    <t>C/C/1=C/CCC(=C)/C=C\[C@H](CC1)C(C)C</t>
  </si>
  <si>
    <t>C[C@H]1CCC(C2C1=CCC(=C2)C)C(C)C</t>
  </si>
  <si>
    <t>CC(=C)[C@@H]1CC[C@]2(CCC[C@]([C@@H]2C1)(C)O)C</t>
  </si>
  <si>
    <t>CC(=C)C1CCC2(CCCC(C2C1)(C)O)C</t>
  </si>
  <si>
    <t>C[C@@H]1CC[C@H]([C@H]2[C@@]1(CCC(=C2)C)O)C(C)C</t>
  </si>
  <si>
    <t>CCC(C)COC(=O)C1=CC=CC=C1</t>
  </si>
  <si>
    <t>CC1CCC2CC3=C(C=CC13C2(C)C)C</t>
  </si>
  <si>
    <t>C[C@H]1CC[C@H]2CC3=C(C=C[C@@]13C2(C)C)C</t>
  </si>
  <si>
    <t>C[C@H]1C=C[C@@H]([C@@H]2[C@@]13C2[C@@](CC3)(C)O)C(C)C</t>
  </si>
  <si>
    <t>C1=CC=C(C=C1)CCOC(=O)C2=CC=CC=C2</t>
  </si>
  <si>
    <t>CC1=CC[C@H](CC1)C(C)(C)O</t>
  </si>
  <si>
    <t>CC1=CC=C(C=C1)[C@@H](C)CCC=C(C)C</t>
  </si>
  <si>
    <t>CC1=CC=C(C=C1)[C@H](C)CCC=C(C)C</t>
  </si>
  <si>
    <t>CC1=CCC[C@]2([C@H]1CC(=C(C)C)CC2)C</t>
  </si>
  <si>
    <t>C/C/1=C\CC/C(=C/CC(=C(C)C)CC1)/C</t>
  </si>
  <si>
    <t>C/C/1=C/CC/C(=C\CC(=C(C)C)CC1)/C</t>
  </si>
  <si>
    <t>C/C/1=C/CC/C(=C/CC(=C(C)C)CC1)/C</t>
  </si>
  <si>
    <t>CC1=CCCC(=CCC(=C(C)C)CC1)C</t>
  </si>
  <si>
    <t>CC1=C2CC[C@]([C@H]2[C@H]3[C@H](C3(C)C)CC1)(C)O</t>
  </si>
  <si>
    <t>CC1=C2CCC(C2C3C(C3(C)C)CC1)(C)O</t>
  </si>
  <si>
    <t>C1=CC=C(C=C1)CCOC(=O)C=CC2=CC(=C(C=C2)O)O</t>
  </si>
  <si>
    <t>C/C=C/C=O</t>
  </si>
  <si>
    <t>CC(C)C12CCC(=C)C1C2</t>
  </si>
  <si>
    <t>CC(=CCCC(=C)C=C)C</t>
  </si>
  <si>
    <t>CCCCCO</t>
  </si>
  <si>
    <t>CC(=CCOC(=O)C)C</t>
  </si>
  <si>
    <t>CCCCCC1=CC=CO1</t>
  </si>
  <si>
    <t>CC(CC=C)O</t>
  </si>
  <si>
    <t>CCC/C=C/CCO</t>
  </si>
  <si>
    <t>CC1=CC[C@H](C1(C)C)CC=O</t>
  </si>
  <si>
    <t>CC1(C2CC=C(C1C2)C=O)C</t>
  </si>
  <si>
    <t>C1C=COC1=O</t>
  </si>
  <si>
    <t>COC1=CC=CC=C1CO</t>
  </si>
  <si>
    <t>COC(=O)/C=C/C1=CC(=C(C=C1)O)O</t>
  </si>
  <si>
    <t>CC(=O)CC1=CC=CC=C1</t>
  </si>
  <si>
    <t>CC1=C(C=CC(=C1)C(=O)C)O</t>
  </si>
  <si>
    <t>CC1=CC(=C(C=C1)C=O)O</t>
  </si>
  <si>
    <t>CC1CCC2(C1C3C(C3(C)C)CCC2C)O</t>
  </si>
  <si>
    <t>C1[C@H]2[C@H]([C@@H]([C@@H]([C@H](O1)O2)O)O)O</t>
  </si>
  <si>
    <t>C1C2C(C(C(C(O1)O2)O)O)O</t>
  </si>
  <si>
    <t>CCCCCCCCCCCCCCCCCCC=C</t>
  </si>
  <si>
    <t>CCCCCCCCCCCCCCCCCCCCCCCCCCCCCCCO</t>
  </si>
  <si>
    <t>CC(=O)/C=C/C1=CC=CC=C1</t>
  </si>
  <si>
    <t>C1=CC=C(C=C1)/C=C/C2=CC=CC=C2</t>
  </si>
  <si>
    <t>C1=CC(=CC(=C1)O)C2=CC(=O)C3=C(O2)C=C(C=C3)O</t>
  </si>
  <si>
    <t>C[C@H]1[C@@H]([C@H]([C@H]([C@@H](O1)OC[C@@H]2[C@H]([C@@H]([C@H]([C@@H](O2)OC3=C(OC4=CC(=CC(=C4C3=O)O)O)C5=CC(=C(C=C5)O)OC)O)O)O)O)O)O</t>
  </si>
  <si>
    <t>C1=CC(=CC=C1C=CC(=O)OC(CC(=O)O)C(=O)O)O</t>
  </si>
  <si>
    <t>CC(=CCC[C@@](C)([C@H]1CC[C@@]2([C@@H]1CC[C@H]3[C@]2(CC[C@@H]4[C@@]3(CC[C@@H](C4(C)C)O)C)C)C)O)C</t>
  </si>
  <si>
    <t>C1[C@H](C([C@@H](CC1(C(=O)O)O)O)OC(=O)/C=C/C2=CC(=C(C=C2)O)O)O</t>
  </si>
  <si>
    <t>C1C(C[C@@H](C([C@H]1OC(=O)/C=C/C2=CC(=C(C=C2)O)O)O)OC(=O)/C=C/C3=CC(=C(C=C3)O)O)(O)C(=O)O</t>
  </si>
  <si>
    <t>C1=CC=C2C(=C1)C(=CN2)CC(=O)O</t>
  </si>
  <si>
    <t>CCCCCCCCCCCCCCCCCCCCC(=O)O</t>
  </si>
  <si>
    <t>CC=CCC=CCCCCCCCCCCCC(=O)O</t>
  </si>
  <si>
    <t>CC/C=C/C/C=C/C/C=C/CCCCCCCC(=O)O</t>
  </si>
  <si>
    <t>CCC=CCC=CCC=CCCCCCCCC(=O)O</t>
  </si>
  <si>
    <t>CC(=CCC/C(=C/COC(=O)/C=C/C1=CC(=C(C=C1)O)O)/C)C</t>
  </si>
  <si>
    <t>CC(CC1=CC(=C(C=C1)O)O)C(C)CC2=CC(=C(C=C2)O)O</t>
  </si>
  <si>
    <t>CC1CCCC2C1OC(=O)CC2</t>
  </si>
  <si>
    <t>CCCOC1=CC=C(C=C1)O</t>
  </si>
  <si>
    <t>CCC1=CC2=C(C=C1)OC=C(C2=O)C=O</t>
  </si>
  <si>
    <t>COC1=C(C=C2C(=C1)C(=O)C(=CO2)C3=CC=CC=C3)O</t>
  </si>
  <si>
    <t>C1=CC(=C(C=C1O)O)O</t>
  </si>
  <si>
    <t>C1=C(C=C(C(=C1O)O)O)C2=CC(=O)C3=C(C=C(C=C3O2)O)O</t>
  </si>
  <si>
    <t>COC1=CC(=CC(=C1OC)OC)/C=C/C(=O)O</t>
  </si>
  <si>
    <t>C1C(OC2=CC=CC=C2C1=O)C3=CC=C(C=C3)O</t>
  </si>
  <si>
    <t>COC1=C(C(=C2C(=C1)C=CC(=O)O2)O)OC</t>
  </si>
  <si>
    <t>COC1=C2C(=C(C3=C1OC=C3)N)C=CC(=O)O2</t>
  </si>
  <si>
    <t>CCOC(=O)C1=CC(=O)OC2=C1C=CC(=C2)O</t>
  </si>
  <si>
    <t>COC1=C(C=C2COC(=O)CC2=C1)OC</t>
  </si>
  <si>
    <t>COC1=CC(=CC(=C1OC)OC)C2=CC(=O)C3=C(C(=C(C(=C3O2)OC)OC)OC)O</t>
  </si>
  <si>
    <t>CC(C)(C)C1=CC(=CC(=C1O)C(C)(C)C)OC</t>
  </si>
  <si>
    <t>COC1=C(C=C(C=C1)/C=C/C2=CC(=CC(=C2)O)O)O</t>
  </si>
  <si>
    <t>CC1CCCC2=CCC3C(C12C)C3(C)C</t>
  </si>
  <si>
    <t>S1SSSSSSS1</t>
  </si>
  <si>
    <t>COC1=C(C=C(C=C1)C=O)OC</t>
  </si>
  <si>
    <t>COC1=CC(=C2C(=C1)OC(=C(C2=O)O)C3=CC=C(C=C3)O)O</t>
  </si>
  <si>
    <t>C1OC2=C(O1)C=C(C=C2)C=O</t>
  </si>
  <si>
    <t>C/C/1=C\CC/C(=C/[C@H]2[C@H](C2(C)C)CC1)/C</t>
  </si>
  <si>
    <t>C/C/1=C\CC/C(=C/C2C(C2(C)C)CC1)/C</t>
  </si>
  <si>
    <t>C/C/1=C\CC/C(=C/[C@@H]2[C@@H](C2(C)C)CC1)/C</t>
  </si>
  <si>
    <t>CC1=CCC/C(=C/[C@H]2[C@H](C2(C)C)CC1)/C</t>
  </si>
  <si>
    <t>C/C/1=C\CC/C(=C/[C@H]2[C@@H](C2(C)C)CC1)/C</t>
  </si>
  <si>
    <t>C/C/1=C/CC/C(=C\C2C(C2(C)C)CC1)/C</t>
  </si>
  <si>
    <t>CC1(C2CCC(=C)C1C2)C</t>
  </si>
  <si>
    <t>CC1=CCC[C@H](C1)C(=C)C</t>
  </si>
  <si>
    <t>C[C@@H]1[C@H]2C[C@]2(CC1=O)C(C)C</t>
  </si>
  <si>
    <t>CC1C2CC2(CC1=O)C(C)C</t>
  </si>
  <si>
    <t>C[C@H]1[C@H]2C[C@]2(CC1=O)C(C)C</t>
  </si>
  <si>
    <t>CC1[C@H]2C[C@]2(CC1=O)C(C)C</t>
  </si>
  <si>
    <t>C[C@H]1[C@@H]2C[C@]2(CC1=O)C(C)C</t>
  </si>
  <si>
    <t>C[C@@H]1[C@@H]2C[C@]2(CC1=O)C(C)C</t>
  </si>
  <si>
    <t>C[C@H]1[C@@H]2C[C@@]2(CC1=O)C(C)C</t>
  </si>
  <si>
    <t>C[C@@H]1[C@@H]2C[C@@H](C2(C)C)CC1=O</t>
  </si>
  <si>
    <t>CC1C2CC(C2(C)C)CC1=O</t>
  </si>
  <si>
    <t>C[C@]12CC[C@H](C1)C(C2=O)(C)C</t>
  </si>
  <si>
    <t>CC1=CC=C(C=C1)C(C)CO</t>
  </si>
  <si>
    <t>CC(CCC=C(C)C)CCO</t>
  </si>
  <si>
    <t>CC(=C/C=C/C(=C/C=O)/C)C</t>
  </si>
  <si>
    <t>CCCCCCCCC(=O)OCC</t>
  </si>
  <si>
    <t>CC1=CC[C@@H]2[C@@H]3[C@H]1[C@]2(CCCC3(C)C)C</t>
  </si>
  <si>
    <t>CC1=CCC2C3C1C2(CCCC3(C)C)C</t>
  </si>
  <si>
    <t>CC1=CC[C@H]2[C@H]3[C@@H]1[C@@]2(CCCC3(C)C)C</t>
  </si>
  <si>
    <t>CC1=CC[C@@H]2[C@@H]3[C@H]1[C@@]2(CCCC3(C)C)C</t>
  </si>
  <si>
    <t>C=CCOC(=O)C1=CC(=C(C=C1)N)F</t>
  </si>
  <si>
    <t>CC1=CC[C@H](CC1)C(=C)CCC=C(C)C</t>
  </si>
  <si>
    <t>CC(=O)OC</t>
  </si>
  <si>
    <t>CCCC(C)CC(=C)C</t>
  </si>
  <si>
    <t>CC1=CCC2C3C1C2(CCC3C(C)C)C</t>
  </si>
  <si>
    <t>CC1=CCC2C3C1[C@@]2(CCC3C(C)C)C</t>
  </si>
  <si>
    <t>CC1=CC[C@@H]2C3[C@H]1C2(CCC3C(C)C)C</t>
  </si>
  <si>
    <t>CC1=CCC2[C@H]3[C@@H]1[C@@]2(CC[C@H]3C(C)C)C</t>
  </si>
  <si>
    <t>CC1=CC[C@H]2[C@H]3C1[C@@]2(CCC3C(C)C)C</t>
  </si>
  <si>
    <t>C[C@@]12CC[C@@H](C1(C)C)CC2=O</t>
  </si>
  <si>
    <t>C[C@H]1CC[C@H](C2=C1C=CC(=C2)C)C(C)C</t>
  </si>
  <si>
    <t>COC1=C(C=CC(=C1)/C=C/COC(=O)/C=C/C2=CC(=C(C=C2)O)OC)O</t>
  </si>
  <si>
    <t>CC1=C(C2=C(C=C1O)O[C@@H](CC2=O)C3=CC=CC=C3)O</t>
  </si>
  <si>
    <t>COC1=CC(=CC(=C1O)OC)C2=CC(=O)C3=C(C=C(C=C3O2)O)O</t>
  </si>
  <si>
    <t>COC1=C(C=CC(=C1)C2=CC(=O)C3=C(C=C(C=C3O2)O)O)O</t>
  </si>
  <si>
    <t>CN(C)CCO</t>
  </si>
  <si>
    <t>COC1=C(C=C(C=C1)C2=COC3=CC(=CC(=C3C2=O)O)O)O</t>
  </si>
  <si>
    <t>COC1=C(C(=C(C=C1)C2COC3=C(C2=O)C=CC(=C3)O)OC)O</t>
  </si>
  <si>
    <t>COC1=CC(=C(C=C1)[C@@H]2COC3=C(C2=O)C=CC(=C3)O)O</t>
  </si>
  <si>
    <t>CC(C)C1=CC2=C(C=C1)[C@@]3(CCC[C@]([C@H]3CC2)(C)C(=O)O)C</t>
  </si>
  <si>
    <t>CC(=C)[C@H]1[C@H]2[C@H](C2(C)C)CC[C@@]1(C)C=C</t>
  </si>
  <si>
    <t>CC(=C)[C@H]1[C@H]2[C@H](C2(C)C)CC[C@]1(C)C=C</t>
  </si>
  <si>
    <t>CC(=C)C1C2C(C2(C)C)CCC1(C)C=C</t>
  </si>
  <si>
    <t>CC(=C)[C@@H]1[C@@H]2[C@@H](C2(C)C)CC[C@@]1(C)C=C</t>
  </si>
  <si>
    <t>CC(=C)[C@@H]1[C@H]2[C@@H](C2(C)C)CC[C@@]1(C)C=C</t>
  </si>
  <si>
    <t>CC(=C)[C@@H]1CC[C@@]([C@@H](C1)C(=C)C)(C)C=C</t>
  </si>
  <si>
    <t>CC(=C)[C@@H]1CC[C@]2(CCCC(=C)[C@@H]2C1)C</t>
  </si>
  <si>
    <t>CC(=C)C1CCC2(CCCC(=C)C2C1)C</t>
  </si>
  <si>
    <t>CC(=C)[C@H]1CC[C@@]2(CCCC(=C)[C@H]2C1)C</t>
  </si>
  <si>
    <t>CC(=C)[C@@H]1CC[C@]2(CCCC(=C)[C@H]2C1)C</t>
  </si>
  <si>
    <t>CC1=C[C@@H]2[C@@H](CC1)C(=CC[C@H]2C(C)C)C</t>
  </si>
  <si>
    <t>C1=CC(=CC(=C1)O)O</t>
  </si>
  <si>
    <t>COC1=CC2=C(C=C1)[C@@H]3COC4=C([C@@H]3O2)C=CC(=C4)OC</t>
  </si>
  <si>
    <t>COC1=CC(=C(C=C1)[C@H]2CC3=C(C=C(C=C3)OC)OC2)O</t>
  </si>
  <si>
    <t>COC1=CC(=C(C=C1)C2CC3=C(C=C(C=C3)OC)OC2)O</t>
  </si>
  <si>
    <t>CC1=CCC2(C1C2)C(C)C</t>
  </si>
  <si>
    <t>CC1(C2CCC1C(=C)C2)C</t>
  </si>
  <si>
    <t>CC1=CC=C(CC1)C(=C)C</t>
  </si>
  <si>
    <t>CC1=CC=C(CC1)C(C)C</t>
  </si>
  <si>
    <t>CC1=CC=CC=C1C(C)C</t>
  </si>
  <si>
    <t>C[C@]1(CC[C@H](C=C1)C(C)(C)O)O</t>
  </si>
  <si>
    <t>C[C@]12CCCC([C@@H]3C1CCC3C2=C)(C)C</t>
  </si>
  <si>
    <t>CC1=C[C@@H]2[C@H](CC1)C(=CC[C@H]2C(C)C)C</t>
  </si>
  <si>
    <t>C[C@H]1CCC[C@]2([C@H]1CC[C@@H]3[C@@H]2CC[C@@H](C3)C(C)C)C</t>
  </si>
  <si>
    <t>CC(C)C1=CC2=C(C=C1)[C@]3(CCCC([C@@H]3CC2)(C)C)C</t>
  </si>
  <si>
    <t>CCCOC1=C(C=C(C=C1)S(=O)(=O)N2CCN(CC2)C)C3=NC4=C(CCC4)C(=O)N3</t>
  </si>
  <si>
    <t>CCCCCCCCCCCCCCCCC(=O)OC</t>
  </si>
  <si>
    <t>CCC(C)CC</t>
  </si>
  <si>
    <t>CC(C)CC(C)C</t>
  </si>
  <si>
    <t>CC(=CCC/C(=C/C[C@@H]1C[C@]2(C(=O)/C(=C(/C3=CC(=C(C=C3)O)O)\O)/C(=O)[C@](C2=O)(C1(C)C)CC=C(C)C)CC=C(C)C)/C)C</t>
  </si>
  <si>
    <t>C[C@@H]1CC[C@H]([C@@H]2[C@H]1CCC(=C2)C)C(=C)C(=O)O</t>
  </si>
  <si>
    <t>CC(CCC1C(=C)CCC2[C@@]1(CCC[C@]2(C)C(=O)O)C)CCO</t>
  </si>
  <si>
    <t>C[C@H](CC[C@H]1C(=C)CC[C@@H]2[C@@]1(CCC[C@]2(C)C(=O)O)C)CCO</t>
  </si>
  <si>
    <t>C[C@H](CC/C=C(\C)/CO)[C@H]1CC[C@@]2([C@@]1(CC=C3C2=CC[C@@H]4[C@@]3(CCC(=O)C4(C)C)C)C)C</t>
  </si>
  <si>
    <t>C1=CC=C(C=C1)C2=CC(=O)C3=C(O2)C=C(C(=C3O)O)O</t>
  </si>
  <si>
    <t>C1C(OC2=C(C1=O)C=C(C=C2)O)C3=CC=CC=C3</t>
  </si>
  <si>
    <t>COC1=CC=C(C=C1)C2COC3=CC(=CC(=C3C2=O)O)O</t>
  </si>
  <si>
    <t>C1C2C(C3=C(O1)C=C(C=C3)O)OC4=C2C=CC(=C4)O</t>
  </si>
  <si>
    <t>COC1=C(C=C2C(=CC(=O)OC2=C1)C3=CC=CC=C3)O</t>
  </si>
  <si>
    <t>CC1=CC(=CC2=C1C(=O)C=C(O2)C)O</t>
  </si>
  <si>
    <t>COC1=C(C2=C(C(=C1)O)C(=O)C=C(O2)C3=CC=CC=C3)OC</t>
  </si>
  <si>
    <t>CC(=CCC1=C(C=CC(=C1)C2=COC3=C(C2=O)C=CC(=C3)O)O)C</t>
  </si>
  <si>
    <t>COC1=C(C=CC(=C1)C2=CC(=O)C3=C(O2)C=C(C(=C3O)OC)O)O</t>
  </si>
  <si>
    <t>CC1=C(C(=C2C(=C1O)C(=O)C(=CO2)CC3=CC4=C(C=C3)OCO4)C)O</t>
  </si>
  <si>
    <t>COC1=C(C(=C2C(=C1O)C(=O)C=C(O2)C3=CC=C(C=C3)O)OC)OC</t>
  </si>
  <si>
    <t>C1=CC(=CC=C1C2=COC3=CC(=CC(=C3C2=O)O)O[C@H]4[C@@H]([C@H]([C@@H]([C@H](O4)CO)O)O)O)O</t>
  </si>
  <si>
    <t>CC1=CC(=C(C2=C1C(=O)C=C(O2)C[C@H](C)O)[C@H]3[C@@H]([C@H]([C@@H]([C@H](O3)CO)O)O)OC(=O)/C=C/C4=CC=C(C=C4)O)OC</t>
  </si>
  <si>
    <t>C1[C@@H]([C@H](OC2=C1C=CC(=C2)O)C3=CC(=C(C=C3)O)O)O</t>
  </si>
  <si>
    <t>C1=CC=C(C=C1)C=CC=CC(=O)O</t>
  </si>
  <si>
    <t>CC(=O)CC(C)(C)O</t>
  </si>
  <si>
    <t>C[C@]12CCCC([C@@H]1CCC(=C)[C@@H]2CC[C@@](C)(C=C)O)(C)C</t>
  </si>
  <si>
    <t>C[C@]12CCCC([C@@H]1CCC(=C)[C@@H]2CCC(C)(C=C)O)(C)C</t>
  </si>
  <si>
    <t>C[C@H](CC[C@H](C)C(=C)C)[C@H]1CC[C@@]2([C@@]1(CC[C@]34[C@H]2CC[C@@H]5[C@]3(C4)CC[C@@H](C5(C)C)O)C)C</t>
  </si>
  <si>
    <t>CCCCCCCCCCC(=O)O</t>
  </si>
  <si>
    <t>CCCCCCCCCCCCC(=O)O</t>
  </si>
  <si>
    <t>CCCCCCCCCCCCCCCCCCCCCCC(=O)O</t>
  </si>
  <si>
    <t>CCCC/C=C\CCCCCCCCC(=O)O</t>
  </si>
  <si>
    <t>CCCCCC/C=C\CCCCCCCC(=O)O</t>
  </si>
  <si>
    <t>CCCCCC/C=C\CCCCCCCCC(=O)O</t>
  </si>
  <si>
    <t>CCCCCCCC/C=C\CCCCCCCCCC(=O)O</t>
  </si>
  <si>
    <t>CCCCCCCC/C=C\CCCCCCCCCCCCCC(=O)O</t>
  </si>
  <si>
    <t>CCCCC/C=C\C/C=C\C/C=C\CCCCC(=O)O</t>
  </si>
  <si>
    <t>CCCCC/C=C\C/C=C\CCCCCCCCCC(=O)O</t>
  </si>
  <si>
    <t>CCCCC/C=C\C/C=C\C/C=C\CCCCCCC(=O)O</t>
  </si>
  <si>
    <t>CC/C=C/C/C=C/C/C=C\CCCCCCCCCC(=O)O</t>
  </si>
  <si>
    <t>CCCCC/C=C\C/C=C\C/C=C\C/C=C\CCCC(=O)O</t>
  </si>
  <si>
    <t>CC/C=C\C/C=C\C/C=C\C/C=C\C/C=C\CCCC(=O)O</t>
  </si>
  <si>
    <t>CC/C=C\C/C=C\C/C=C\C/C=C\C/C=C\C/C=C\CCC(=O)O</t>
  </si>
  <si>
    <t>CCCCC=CCCCCCCCC(=O)O</t>
  </si>
  <si>
    <t>C1=CC=NC=C1</t>
  </si>
  <si>
    <t>C[C@H]1CCC23[C@H]1[C@@H]4[C@@H](C4(C)C)CCC2(O3)C</t>
  </si>
  <si>
    <t>CC(C/C=C/C(=C)C)C=C</t>
  </si>
  <si>
    <t>CC1=C(C=CC(=C1C)OC)O</t>
  </si>
  <si>
    <t>CC1=CC(=C(C(=C1)C)O)C</t>
  </si>
  <si>
    <t>C[C@@]12CC[C@@H](C1(C)C)C[C@@H]2Cl</t>
  </si>
  <si>
    <t>COC1=C(C=CC(=C1)C2=C(C(=O)C3=C(C=C(C=C3O2)O)O)O[C@H]4[C@@H]([C@H]([C@@H]([C@H](O4)CO)O)O)O)O</t>
  </si>
  <si>
    <t>C1=CC(=C(C=C1C2=C(C(=O)C3=C(C=C(C=C3O2)O)O)O[C@H]4[C@@H]([C@H]([C@@H](O4)CO)O)O)O)O</t>
  </si>
  <si>
    <t>C1=CC(=CC=C1CCC(=O)C2=C(C=C(C=C2O[C@H]3[C@@H]([C@H]([C@@H]([C@H](O3)CO)O)O)O)O)O)O</t>
  </si>
  <si>
    <t>C1=CC(=C(C=C1C2=CC(=O)C3=C(O2)C(=C(C=C3O)O)[C@H]4[C@@H]([C@H]([C@@H]([C@H](O4)CO)O)O)O)O)O</t>
  </si>
  <si>
    <t>C1=CC(=CC=C1/C=C/C(=O)OC[C@@H]2[C@H]([C@@H]([C@H]([C@@H](O2)OC3=C(OC4=CC(=CC(=C4C3=O)O)O)C5=CC=C(C=C5)O)O)O)O)O</t>
  </si>
  <si>
    <t>C1=C(C=C(C(=C1[N+](=O)[O-])O)O)[N+](=O)[O-]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</si>
</sst>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i/>
      <sz val="8"/>
      <color theme="1"/>
      <name val="Arial"/>
      <family val="2"/>
    </font>
    <font>
      <sz val="14"/>
      <color theme="2" tint="-0.499984740745262"/>
      <name val="Arial"/>
      <family val="2"/>
    </font>
    <font>
      <i/>
      <sz val="8"/>
      <color theme="2" tint="-0.499984740745262"/>
      <name val="Arial"/>
      <family val="2"/>
    </font>
    <font>
      <sz val="11"/>
      <color theme="2" tint="-0.499984740745262"/>
      <name val="Arial"/>
      <family val="2"/>
    </font>
    <font>
      <b/>
      <sz val="12"/>
      <color theme="2" tint="-0.499984740745262"/>
      <name val="Arial"/>
      <family val="2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1" fillId="0" borderId="10" xfId="0" applyFont="1" applyBorder="1" applyAlignment="1">
      <alignment horizontal="left"/>
    </xf>
    <xf numFmtId="0" fontId="21" fillId="0" borderId="11" xfId="0" applyFont="1" applyBorder="1" applyAlignment="1">
      <alignment horizontal="left"/>
    </xf>
    <xf numFmtId="0" fontId="18" fillId="0" borderId="12" xfId="0" applyFont="1" applyBorder="1" applyAlignment="1">
      <alignment horizontal="left"/>
    </xf>
    <xf numFmtId="0" fontId="18" fillId="0" borderId="13" xfId="0" applyFont="1" applyBorder="1" applyAlignment="1">
      <alignment horizontal="left"/>
    </xf>
    <xf numFmtId="0" fontId="20" fillId="0" borderId="14" xfId="0" applyFont="1" applyBorder="1" applyAlignment="1">
      <alignment horizontal="left"/>
    </xf>
    <xf numFmtId="0" fontId="20" fillId="0" borderId="15" xfId="0" applyFont="1" applyBorder="1" applyAlignment="1">
      <alignment horizontal="left"/>
    </xf>
    <xf numFmtId="0" fontId="21" fillId="0" borderId="16" xfId="0" applyFont="1" applyBorder="1" applyAlignment="1">
      <alignment horizontal="left"/>
    </xf>
    <xf numFmtId="0" fontId="20" fillId="0" borderId="17" xfId="0" applyFont="1" applyBorder="1" applyAlignment="1">
      <alignment horizontal="left"/>
    </xf>
    <xf numFmtId="0" fontId="16" fillId="0" borderId="0" xfId="0" applyFont="1"/>
    <xf numFmtId="0" fontId="29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81"/>
  <sheetViews>
    <sheetView tabSelected="1" topLeftCell="D1492" zoomScale="70" zoomScaleNormal="70" workbookViewId="0">
      <selection activeCell="M1512" sqref="M1512"/>
    </sheetView>
  </sheetViews>
  <sheetFormatPr defaultRowHeight="14.25" x14ac:dyDescent="0.2"/>
  <cols>
    <col min="1" max="1" width="29.28515625" style="1" customWidth="1"/>
    <col min="2" max="2" width="18.140625" style="1" customWidth="1"/>
    <col min="3" max="3" width="23.140625" style="1" customWidth="1"/>
    <col min="4" max="4" width="25.140625" style="1" customWidth="1"/>
    <col min="5" max="5" width="17" style="1" customWidth="1"/>
    <col min="6" max="6" width="16.140625" style="1" customWidth="1"/>
    <col min="7" max="10" width="9.140625" style="9"/>
    <col min="11" max="11" width="12.5703125" style="1" bestFit="1" customWidth="1"/>
    <col min="12" max="12" width="33.28515625" style="1" customWidth="1"/>
    <col min="13" max="13" width="13.5703125" style="1" customWidth="1"/>
    <col min="14" max="14" width="27.7109375" style="1" customWidth="1"/>
    <col min="15" max="15" width="30" style="1" customWidth="1"/>
    <col min="16" max="16" width="24.28515625" style="1" customWidth="1"/>
    <col min="17" max="17" width="30.42578125" style="1" customWidth="1"/>
    <col min="18" max="18" width="26.85546875" style="1" customWidth="1"/>
    <col min="19" max="19" width="29.85546875" style="1" customWidth="1"/>
    <col min="20" max="16384" width="9.140625" style="1"/>
  </cols>
  <sheetData>
    <row r="1" spans="1:20" s="5" customFormat="1" ht="15.75" customHeight="1" x14ac:dyDescent="0.25">
      <c r="A1" s="4" t="s">
        <v>2356</v>
      </c>
      <c r="G1" s="7"/>
      <c r="H1" s="7"/>
      <c r="I1" s="7"/>
      <c r="J1" s="7"/>
      <c r="K1" s="19"/>
    </row>
    <row r="2" spans="1:20" s="6" customFormat="1" ht="15" x14ac:dyDescent="0.25">
      <c r="A2" s="6" t="s">
        <v>2357</v>
      </c>
      <c r="G2" s="8"/>
      <c r="H2" s="8"/>
      <c r="I2" s="8"/>
      <c r="J2" s="8"/>
      <c r="K2"/>
    </row>
    <row r="3" spans="1:20" s="6" customFormat="1" ht="15" x14ac:dyDescent="0.25">
      <c r="A3" s="6" t="s">
        <v>2355</v>
      </c>
      <c r="G3" s="8"/>
      <c r="H3" s="8"/>
      <c r="I3" s="8"/>
      <c r="J3" s="8"/>
      <c r="K3"/>
    </row>
    <row r="4" spans="1:20" s="6" customFormat="1" ht="15" x14ac:dyDescent="0.25">
      <c r="A4" s="6" t="s">
        <v>2358</v>
      </c>
      <c r="G4" s="8"/>
      <c r="H4" s="8"/>
      <c r="I4" s="8"/>
      <c r="J4" s="8"/>
      <c r="K4"/>
    </row>
    <row r="5" spans="1:20" s="6" customFormat="1" ht="15" x14ac:dyDescent="0.25">
      <c r="A5" s="6" t="s">
        <v>2359</v>
      </c>
      <c r="G5" s="8"/>
      <c r="H5" s="8"/>
      <c r="I5" s="8"/>
      <c r="J5" s="8"/>
      <c r="K5"/>
    </row>
    <row r="6" spans="1:20" ht="15" x14ac:dyDescent="0.25">
      <c r="K6"/>
    </row>
    <row r="7" spans="1:20" s="3" customFormat="1" ht="15.75" x14ac:dyDescent="0.25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10" t="s">
        <v>6</v>
      </c>
      <c r="H7" s="10" t="s">
        <v>7</v>
      </c>
      <c r="I7" s="10" t="s">
        <v>8</v>
      </c>
      <c r="J7" s="10" t="s">
        <v>9</v>
      </c>
      <c r="K7" s="19" t="s">
        <v>3278</v>
      </c>
      <c r="L7" s="3" t="s">
        <v>863</v>
      </c>
      <c r="M7" s="3" t="s">
        <v>721</v>
      </c>
      <c r="O7" s="11" t="s">
        <v>2352</v>
      </c>
      <c r="P7" s="17" t="s">
        <v>2351</v>
      </c>
      <c r="Q7" s="11" t="s">
        <v>2353</v>
      </c>
      <c r="R7" s="17" t="s">
        <v>2351</v>
      </c>
      <c r="S7" s="11" t="s">
        <v>2354</v>
      </c>
      <c r="T7" s="12" t="s">
        <v>2351</v>
      </c>
    </row>
    <row r="8" spans="1:20" ht="15" x14ac:dyDescent="0.25">
      <c r="A8" t="s">
        <v>119</v>
      </c>
      <c r="B8" t="s">
        <v>11</v>
      </c>
      <c r="C8" t="s">
        <v>12</v>
      </c>
      <c r="D8" t="s">
        <v>111</v>
      </c>
      <c r="E8" t="s">
        <v>120</v>
      </c>
      <c r="F8" t="s">
        <v>121</v>
      </c>
      <c r="G8" t="s">
        <v>122</v>
      </c>
      <c r="H8" t="s">
        <v>123</v>
      </c>
      <c r="I8"/>
      <c r="J8"/>
      <c r="K8" t="s">
        <v>3279</v>
      </c>
      <c r="L8">
        <v>73202</v>
      </c>
      <c r="M8" t="s">
        <v>2489</v>
      </c>
      <c r="O8" s="13" t="str" cm="1">
        <f t="array" ref="O8:O25">_xlfn.UNIQUE(D8:D1581)</f>
        <v>Phenylpropanoids and polyketides</v>
      </c>
      <c r="P8" s="1">
        <f>COUNTIFS(D8:D1581,O8)</f>
        <v>270</v>
      </c>
      <c r="Q8" s="13" t="str" cm="1">
        <f t="array" ref="Q8:Q87">_xlfn.UNIQUE(E8:E1581)</f>
        <v>Flavonoids</v>
      </c>
      <c r="R8" s="1">
        <f>COUNTIFS(E8:E1581,Q8)</f>
        <v>120</v>
      </c>
      <c r="S8" s="13" t="str" cm="1">
        <f t="array" ref="S8:S135">_xlfn.UNIQUE(F8:F1581)</f>
        <v>Flavans</v>
      </c>
      <c r="T8" s="14">
        <f>COUNTIFS(F8:F1581,S8)</f>
        <v>26</v>
      </c>
    </row>
    <row r="9" spans="1:20" ht="15" x14ac:dyDescent="0.25">
      <c r="A9" t="s">
        <v>1660</v>
      </c>
      <c r="B9" t="s">
        <v>11</v>
      </c>
      <c r="C9" t="s">
        <v>12</v>
      </c>
      <c r="D9" t="s">
        <v>111</v>
      </c>
      <c r="E9" t="s">
        <v>120</v>
      </c>
      <c r="F9" t="s">
        <v>121</v>
      </c>
      <c r="G9" t="s">
        <v>122</v>
      </c>
      <c r="H9"/>
      <c r="I9"/>
      <c r="J9"/>
      <c r="K9" t="s">
        <v>3280</v>
      </c>
      <c r="L9">
        <v>68071</v>
      </c>
      <c r="M9" t="s">
        <v>2490</v>
      </c>
      <c r="O9" s="13" t="str">
        <v>Lipids and lipid-like molecules</v>
      </c>
      <c r="P9" s="1">
        <f>COUNTIFS(D8:D1581,O9)</f>
        <v>639</v>
      </c>
      <c r="Q9" s="13" t="str">
        <v>Cinnamic acids and derivatives</v>
      </c>
      <c r="R9" s="1">
        <f>COUNTIFS(E8:E1581,Q9)</f>
        <v>74</v>
      </c>
      <c r="S9" s="13" t="str">
        <v>Hydroxycinnamic acids and derivatives</v>
      </c>
      <c r="T9" s="14">
        <f>COUNTIFS(F8:F1581,S9)</f>
        <v>60</v>
      </c>
    </row>
    <row r="10" spans="1:20" ht="15" x14ac:dyDescent="0.25">
      <c r="A10" t="s">
        <v>1844</v>
      </c>
      <c r="B10" t="s">
        <v>11</v>
      </c>
      <c r="C10" t="s">
        <v>12</v>
      </c>
      <c r="D10" t="s">
        <v>111</v>
      </c>
      <c r="E10" t="s">
        <v>304</v>
      </c>
      <c r="F10" t="s">
        <v>305</v>
      </c>
      <c r="G10" t="s">
        <v>382</v>
      </c>
      <c r="H10"/>
      <c r="I10"/>
      <c r="J10"/>
      <c r="K10" t="s">
        <v>3281</v>
      </c>
      <c r="L10">
        <v>5281787</v>
      </c>
      <c r="M10" t="s">
        <v>2491</v>
      </c>
      <c r="O10" s="13" t="str">
        <v>Organic acids and derivatives</v>
      </c>
      <c r="P10" s="1">
        <f>COUNTIFS(D8:D1581,O10)</f>
        <v>63</v>
      </c>
      <c r="Q10" s="13" t="str">
        <v>Fatty Acyls</v>
      </c>
      <c r="R10" s="1">
        <f>COUNTIFS(E8:E1581,Q10)</f>
        <v>181</v>
      </c>
      <c r="S10" s="13" t="str">
        <v>Flavones</v>
      </c>
      <c r="T10" s="14">
        <f>COUNTIFS(F8:F1581,S10)</f>
        <v>29</v>
      </c>
    </row>
    <row r="11" spans="1:20" ht="15" x14ac:dyDescent="0.25">
      <c r="A11" t="s">
        <v>1654</v>
      </c>
      <c r="B11" t="s">
        <v>11</v>
      </c>
      <c r="C11" t="s">
        <v>12</v>
      </c>
      <c r="D11" t="s">
        <v>111</v>
      </c>
      <c r="E11" t="s">
        <v>120</v>
      </c>
      <c r="F11" t="s">
        <v>1226</v>
      </c>
      <c r="G11" t="s">
        <v>1226</v>
      </c>
      <c r="H11"/>
      <c r="I11"/>
      <c r="J11"/>
      <c r="K11" t="s">
        <v>3282</v>
      </c>
      <c r="L11">
        <v>5281607</v>
      </c>
      <c r="M11" t="s">
        <v>2492</v>
      </c>
      <c r="O11" s="13" t="str">
        <v>Benzenoids</v>
      </c>
      <c r="P11" s="1">
        <f>COUNTIFS(D8:D1581,O11)</f>
        <v>186</v>
      </c>
      <c r="Q11" s="13" t="str">
        <v>Carboxylic acids and derivatives</v>
      </c>
      <c r="R11" s="1">
        <f>COUNTIFS(E8:E1581,Q11)</f>
        <v>57</v>
      </c>
      <c r="S11" s="13" t="str">
        <v>O-methylated flavonoids</v>
      </c>
      <c r="T11" s="14">
        <f>COUNTIFS(F8:F1581,S11)</f>
        <v>42</v>
      </c>
    </row>
    <row r="12" spans="1:20" ht="15" x14ac:dyDescent="0.25">
      <c r="A12" t="s">
        <v>1870</v>
      </c>
      <c r="B12" t="s">
        <v>11</v>
      </c>
      <c r="C12" t="s">
        <v>12</v>
      </c>
      <c r="D12" t="s">
        <v>111</v>
      </c>
      <c r="E12" t="s">
        <v>120</v>
      </c>
      <c r="F12" t="s">
        <v>1226</v>
      </c>
      <c r="G12" t="s">
        <v>1227</v>
      </c>
      <c r="H12"/>
      <c r="I12"/>
      <c r="J12"/>
      <c r="K12" t="s">
        <v>3283</v>
      </c>
      <c r="L12">
        <v>5281616</v>
      </c>
      <c r="M12" t="s">
        <v>2493</v>
      </c>
      <c r="O12" s="13" t="str">
        <v>Organic oxygen compounds</v>
      </c>
      <c r="P12" s="1">
        <f>COUNTIFS(D8:D1581,O12)</f>
        <v>159</v>
      </c>
      <c r="Q12" s="13" t="str">
        <v>Hydroxy acids and derivatives</v>
      </c>
      <c r="R12" s="1">
        <f>COUNTIFS(E8:E1581,Q12)</f>
        <v>5</v>
      </c>
      <c r="S12" s="13" t="str">
        <v>Fatty acids and conjugates</v>
      </c>
      <c r="T12" s="14">
        <f>COUNTIFS(F8:F1581,S12)</f>
        <v>65</v>
      </c>
    </row>
    <row r="13" spans="1:20" ht="15" x14ac:dyDescent="0.25">
      <c r="A13" t="s">
        <v>1600</v>
      </c>
      <c r="B13" t="s">
        <v>11</v>
      </c>
      <c r="C13" t="s">
        <v>12</v>
      </c>
      <c r="D13" t="s">
        <v>111</v>
      </c>
      <c r="E13" t="s">
        <v>120</v>
      </c>
      <c r="F13" t="s">
        <v>1592</v>
      </c>
      <c r="G13" t="s">
        <v>1598</v>
      </c>
      <c r="H13"/>
      <c r="I13"/>
      <c r="J13"/>
      <c r="K13" t="s">
        <v>3284</v>
      </c>
      <c r="L13">
        <v>73201</v>
      </c>
      <c r="M13" t="s">
        <v>2494</v>
      </c>
      <c r="O13" s="13" t="str">
        <v>Homogeneous non-metal compounds</v>
      </c>
      <c r="P13" s="1">
        <f>COUNTIFS(D8:D1581,O13)</f>
        <v>3</v>
      </c>
      <c r="Q13" s="13" t="str">
        <v>Benzene and substituted derivatives</v>
      </c>
      <c r="R13" s="1">
        <f>COUNTIFS(E8:E1581,Q13)</f>
        <v>124</v>
      </c>
      <c r="S13" s="13" t="str">
        <v>Dicarboxylic acids and derivatives</v>
      </c>
      <c r="T13" s="14">
        <f>COUNTIFS(F8:F1581,S13)</f>
        <v>5</v>
      </c>
    </row>
    <row r="14" spans="1:20" ht="15" x14ac:dyDescent="0.25">
      <c r="A14" t="s">
        <v>576</v>
      </c>
      <c r="B14" t="s">
        <v>11</v>
      </c>
      <c r="C14" t="s">
        <v>12</v>
      </c>
      <c r="D14" t="s">
        <v>24</v>
      </c>
      <c r="E14" t="s">
        <v>25</v>
      </c>
      <c r="F14" t="s">
        <v>388</v>
      </c>
      <c r="G14" t="s">
        <v>389</v>
      </c>
      <c r="H14"/>
      <c r="I14"/>
      <c r="J14"/>
      <c r="K14" t="s">
        <v>3285</v>
      </c>
      <c r="L14">
        <v>985</v>
      </c>
      <c r="M14" t="s">
        <v>826</v>
      </c>
      <c r="O14" s="13" t="str">
        <v>Hydrocarbons</v>
      </c>
      <c r="P14" s="1">
        <f>COUNTIFS(D8:D1581,O14)</f>
        <v>79</v>
      </c>
      <c r="Q14" s="13" t="str">
        <v>Organooxygen compounds</v>
      </c>
      <c r="R14" s="1">
        <f>COUNTIFS(E8:E1581,Q14)</f>
        <v>158</v>
      </c>
      <c r="S14" s="13" t="str">
        <v>Alpha hydroxy acids and derivatives</v>
      </c>
      <c r="T14" s="14">
        <f>COUNTIFS(F8:F1581,S14)</f>
        <v>2</v>
      </c>
    </row>
    <row r="15" spans="1:20" ht="15" x14ac:dyDescent="0.25">
      <c r="A15" t="s">
        <v>574</v>
      </c>
      <c r="B15" t="s">
        <v>11</v>
      </c>
      <c r="C15" t="s">
        <v>12</v>
      </c>
      <c r="D15" t="s">
        <v>24</v>
      </c>
      <c r="E15" t="s">
        <v>25</v>
      </c>
      <c r="F15" t="s">
        <v>388</v>
      </c>
      <c r="G15" t="s">
        <v>389</v>
      </c>
      <c r="H15"/>
      <c r="I15"/>
      <c r="J15"/>
      <c r="K15" t="s">
        <v>3286</v>
      </c>
      <c r="L15">
        <v>5281</v>
      </c>
      <c r="M15" t="s">
        <v>824</v>
      </c>
      <c r="O15" s="13">
        <v>0</v>
      </c>
      <c r="P15" s="1">
        <f>COUNTIFS(D8:D1581,O15)</f>
        <v>0</v>
      </c>
      <c r="Q15" s="13" t="str">
        <v>Prenol lipids</v>
      </c>
      <c r="R15" s="1">
        <f>COUNTIFS(E8:E1581,Q15)</f>
        <v>430</v>
      </c>
      <c r="S15" s="13" t="str">
        <v>Benzoic acids and derivatives</v>
      </c>
      <c r="T15" s="14">
        <f>COUNTIFS(F8:F1581,S15)</f>
        <v>53</v>
      </c>
    </row>
    <row r="16" spans="1:20" ht="15" x14ac:dyDescent="0.25">
      <c r="A16" t="s">
        <v>552</v>
      </c>
      <c r="B16" t="s">
        <v>11</v>
      </c>
      <c r="C16" t="s">
        <v>12</v>
      </c>
      <c r="D16" t="s">
        <v>24</v>
      </c>
      <c r="E16" t="s">
        <v>25</v>
      </c>
      <c r="F16" t="s">
        <v>388</v>
      </c>
      <c r="G16" t="s">
        <v>389</v>
      </c>
      <c r="H16"/>
      <c r="I16"/>
      <c r="J16"/>
      <c r="K16" t="s">
        <v>3287</v>
      </c>
      <c r="L16">
        <v>445639</v>
      </c>
      <c r="M16" t="s">
        <v>817</v>
      </c>
      <c r="O16" s="13" t="str">
        <v>Alkaloids and derivatives</v>
      </c>
      <c r="P16" s="1">
        <f>COUNTIFS(D8:D1581,O16)</f>
        <v>8</v>
      </c>
      <c r="Q16" s="13" t="str">
        <v>Steroids and steroid derivatives</v>
      </c>
      <c r="R16" s="1">
        <f>COUNTIFS(E8:E1581,Q16)</f>
        <v>23</v>
      </c>
      <c r="S16" s="13" t="str">
        <v>Phenylpyruvic acid derivatives</v>
      </c>
      <c r="T16" s="14">
        <f>COUNTIFS(F8:F1581,S16)</f>
        <v>1</v>
      </c>
    </row>
    <row r="17" spans="1:20" ht="15" x14ac:dyDescent="0.25">
      <c r="A17" t="s">
        <v>635</v>
      </c>
      <c r="B17" t="s">
        <v>11</v>
      </c>
      <c r="C17" t="s">
        <v>12</v>
      </c>
      <c r="D17" t="s">
        <v>24</v>
      </c>
      <c r="E17" t="s">
        <v>25</v>
      </c>
      <c r="F17" t="s">
        <v>388</v>
      </c>
      <c r="G17" t="s">
        <v>571</v>
      </c>
      <c r="H17"/>
      <c r="I17"/>
      <c r="J17"/>
      <c r="K17" t="s">
        <v>3288</v>
      </c>
      <c r="L17">
        <v>11197</v>
      </c>
      <c r="M17" t="s">
        <v>846</v>
      </c>
      <c r="O17" s="13" t="str">
        <v>Hydrocarbon derivatives</v>
      </c>
      <c r="P17" s="1">
        <f>COUNTIFS(D8:D1581,O17)</f>
        <v>2</v>
      </c>
      <c r="Q17" s="13" t="str">
        <v>Non-metal oxoanionic compounds</v>
      </c>
      <c r="R17" s="1">
        <f>COUNTIFS(E8:E1581,Q17)</f>
        <v>2</v>
      </c>
      <c r="S17" s="13" t="str">
        <v>Fatty acid esters</v>
      </c>
      <c r="T17" s="14">
        <f>COUNTIFS(F8:F1581,S17)</f>
        <v>63</v>
      </c>
    </row>
    <row r="18" spans="1:20" ht="15" x14ac:dyDescent="0.25">
      <c r="A18" t="s">
        <v>417</v>
      </c>
      <c r="B18" t="s">
        <v>11</v>
      </c>
      <c r="C18" t="s">
        <v>12</v>
      </c>
      <c r="D18" t="s">
        <v>13</v>
      </c>
      <c r="E18" t="s">
        <v>14</v>
      </c>
      <c r="F18" t="s">
        <v>380</v>
      </c>
      <c r="G18" t="s">
        <v>380</v>
      </c>
      <c r="H18"/>
      <c r="I18"/>
      <c r="J18"/>
      <c r="K18" t="s">
        <v>3289</v>
      </c>
      <c r="L18">
        <v>1110</v>
      </c>
      <c r="M18" t="s">
        <v>784</v>
      </c>
      <c r="O18" s="13" t="str">
        <v>Organoheterocyclic compounds</v>
      </c>
      <c r="P18" s="1">
        <f>COUNTIFS(D8:D1581,O18)</f>
        <v>72</v>
      </c>
      <c r="Q18" s="13" t="str">
        <v>Saturated hydrocarbons</v>
      </c>
      <c r="R18" s="1">
        <f>COUNTIFS(E8:E1581,Q18)</f>
        <v>41</v>
      </c>
      <c r="S18" s="13" t="str">
        <v>Carbohydrates and carbohydrate conjugates</v>
      </c>
      <c r="T18" s="14">
        <f>COUNTIFS(F8:F1581,S18)</f>
        <v>50</v>
      </c>
    </row>
    <row r="19" spans="1:20" ht="15" x14ac:dyDescent="0.25">
      <c r="A19" t="s">
        <v>628</v>
      </c>
      <c r="B19" t="s">
        <v>11</v>
      </c>
      <c r="C19" t="s">
        <v>12</v>
      </c>
      <c r="D19" t="s">
        <v>13</v>
      </c>
      <c r="E19" t="s">
        <v>422</v>
      </c>
      <c r="F19" t="s">
        <v>434</v>
      </c>
      <c r="G19" t="s">
        <v>434</v>
      </c>
      <c r="H19"/>
      <c r="I19"/>
      <c r="J19"/>
      <c r="K19" t="s">
        <v>3290</v>
      </c>
      <c r="L19">
        <v>612</v>
      </c>
      <c r="M19" t="s">
        <v>844</v>
      </c>
      <c r="O19" s="13" t="str">
        <v>Organic nitrogen compounds</v>
      </c>
      <c r="P19" s="1">
        <f>COUNTIFS(D8:D1581,O19)</f>
        <v>3</v>
      </c>
      <c r="Q19" s="13" t="str">
        <v>Glycerolipids</v>
      </c>
      <c r="R19" s="1">
        <f>COUNTIFS(E8:E1581,Q19)</f>
        <v>5</v>
      </c>
      <c r="S19" s="13" t="str">
        <v>Triterpenoids</v>
      </c>
      <c r="T19" s="14">
        <f>COUNTIFS(F8:F1581,S19)</f>
        <v>46</v>
      </c>
    </row>
    <row r="20" spans="1:20" ht="15" x14ac:dyDescent="0.25">
      <c r="A20" t="s">
        <v>1776</v>
      </c>
      <c r="B20" t="s">
        <v>11</v>
      </c>
      <c r="C20" t="s">
        <v>12</v>
      </c>
      <c r="D20" t="s">
        <v>36</v>
      </c>
      <c r="E20" t="s">
        <v>44</v>
      </c>
      <c r="F20" t="s">
        <v>370</v>
      </c>
      <c r="G20" t="s">
        <v>398</v>
      </c>
      <c r="H20"/>
      <c r="I20"/>
      <c r="J20"/>
      <c r="K20" t="s">
        <v>3291</v>
      </c>
      <c r="L20">
        <v>243</v>
      </c>
      <c r="M20" t="s">
        <v>2069</v>
      </c>
      <c r="O20" s="13" t="str">
        <v>Organosulfur compounds</v>
      </c>
      <c r="P20" s="1">
        <f>COUNTIFS(D8:D1581,O20)</f>
        <v>2</v>
      </c>
      <c r="Q20" s="13" t="str">
        <v>Isoflavonoids</v>
      </c>
      <c r="R20" s="1">
        <f>COUNTIFS(E8:E1581,Q20)</f>
        <v>32</v>
      </c>
      <c r="S20" s="13" t="str">
        <v>Cycloartanols and derivatives</v>
      </c>
      <c r="T20" s="14">
        <f>COUNTIFS(F8:F1581,S20)</f>
        <v>12</v>
      </c>
    </row>
    <row r="21" spans="1:20" ht="15" x14ac:dyDescent="0.25">
      <c r="A21" t="s">
        <v>1746</v>
      </c>
      <c r="B21" t="s">
        <v>11</v>
      </c>
      <c r="C21" t="s">
        <v>12</v>
      </c>
      <c r="D21" t="s">
        <v>111</v>
      </c>
      <c r="E21" t="s">
        <v>304</v>
      </c>
      <c r="F21" t="s">
        <v>305</v>
      </c>
      <c r="G21" t="s">
        <v>306</v>
      </c>
      <c r="H21"/>
      <c r="I21"/>
      <c r="J21"/>
      <c r="K21" t="s">
        <v>3292</v>
      </c>
      <c r="L21">
        <v>637542</v>
      </c>
      <c r="M21" t="s">
        <v>2495</v>
      </c>
      <c r="O21" s="13" t="str">
        <v>Organometallic compounds</v>
      </c>
      <c r="P21" s="1">
        <f>COUNTIFS(D8:D1581,O21)</f>
        <v>7</v>
      </c>
      <c r="Q21" s="13" t="str">
        <v>Linear 1,3-diarylpropanoids</v>
      </c>
      <c r="R21" s="1">
        <f>COUNTIFS(E8:E1581,Q21)</f>
        <v>10</v>
      </c>
      <c r="S21" s="13" t="str">
        <v>Non-metal phosphates</v>
      </c>
      <c r="T21" s="14">
        <f>COUNTIFS(F8:F1581,S21)</f>
        <v>2</v>
      </c>
    </row>
    <row r="22" spans="1:20" ht="15" x14ac:dyDescent="0.25">
      <c r="A22" t="s">
        <v>1847</v>
      </c>
      <c r="B22" t="s">
        <v>11</v>
      </c>
      <c r="C22" t="s">
        <v>12</v>
      </c>
      <c r="D22" t="s">
        <v>111</v>
      </c>
      <c r="E22" t="s">
        <v>304</v>
      </c>
      <c r="F22" t="s">
        <v>305</v>
      </c>
      <c r="G22" t="s">
        <v>306</v>
      </c>
      <c r="H22"/>
      <c r="I22"/>
      <c r="J22"/>
      <c r="K22" t="s">
        <v>3293</v>
      </c>
      <c r="L22">
        <v>689043</v>
      </c>
      <c r="M22" t="s">
        <v>2092</v>
      </c>
      <c r="O22" s="13" t="str">
        <v>Organohalogen compounds</v>
      </c>
      <c r="P22" s="1">
        <f>COUNTIFS(D8:D1581,O22)</f>
        <v>4</v>
      </c>
      <c r="Q22" s="13">
        <v>0</v>
      </c>
      <c r="R22" s="1">
        <f>COUNTIFS(E8:E1581,Q22)</f>
        <v>0</v>
      </c>
      <c r="S22" s="13" t="str">
        <v>Alkanes</v>
      </c>
      <c r="T22" s="14">
        <f>COUNTIFS(F8:F1581,S22)</f>
        <v>36</v>
      </c>
    </row>
    <row r="23" spans="1:20" ht="15" x14ac:dyDescent="0.25">
      <c r="A23" t="s">
        <v>1801</v>
      </c>
      <c r="B23" t="s">
        <v>11</v>
      </c>
      <c r="C23" t="s">
        <v>12</v>
      </c>
      <c r="D23" t="s">
        <v>111</v>
      </c>
      <c r="E23" t="s">
        <v>304</v>
      </c>
      <c r="F23" t="s">
        <v>305</v>
      </c>
      <c r="G23" t="s">
        <v>306</v>
      </c>
      <c r="H23"/>
      <c r="I23"/>
      <c r="J23"/>
      <c r="K23" t="s">
        <v>3294</v>
      </c>
      <c r="L23">
        <v>445858</v>
      </c>
      <c r="M23" t="s">
        <v>2078</v>
      </c>
      <c r="O23" s="13" t="str">
        <v>Allenes</v>
      </c>
      <c r="P23" s="1">
        <f>COUNTIFS(D8:D1581,O23)</f>
        <v>1</v>
      </c>
      <c r="Q23" s="13" t="str">
        <v>Phenols</v>
      </c>
      <c r="R23" s="1">
        <f>COUNTIFS(E8:E1581,Q23)</f>
        <v>41</v>
      </c>
      <c r="S23" s="13" t="str">
        <v>Monoradylglycerols</v>
      </c>
      <c r="T23" s="14">
        <f>COUNTIFS(F8:F1581,S23)</f>
        <v>3</v>
      </c>
    </row>
    <row r="24" spans="1:20" ht="15" x14ac:dyDescent="0.25">
      <c r="A24" t="s">
        <v>1743</v>
      </c>
      <c r="B24" t="s">
        <v>11</v>
      </c>
      <c r="C24" t="s">
        <v>12</v>
      </c>
      <c r="D24" t="s">
        <v>36</v>
      </c>
      <c r="E24" t="s">
        <v>44</v>
      </c>
      <c r="F24" t="s">
        <v>1744</v>
      </c>
      <c r="G24" t="s">
        <v>1744</v>
      </c>
      <c r="H24"/>
      <c r="I24"/>
      <c r="J24"/>
      <c r="K24" t="s">
        <v>3295</v>
      </c>
      <c r="L24">
        <v>53756415</v>
      </c>
      <c r="M24" t="s">
        <v>2058</v>
      </c>
      <c r="O24" s="13" t="str">
        <v>Acetylides</v>
      </c>
      <c r="P24" s="1">
        <f>COUNTIFS(D8:D1581,O24)</f>
        <v>1</v>
      </c>
      <c r="Q24" s="13" t="str">
        <v>Anthracenes</v>
      </c>
      <c r="R24" s="1">
        <f>COUNTIFS(E8:E1581,Q24)</f>
        <v>5</v>
      </c>
      <c r="S24" s="13" t="str">
        <v>Diterpenoids</v>
      </c>
      <c r="T24" s="14">
        <f>COUNTIFS(F8:F1581,S24)</f>
        <v>53</v>
      </c>
    </row>
    <row r="25" spans="1:20" ht="15" x14ac:dyDescent="0.25">
      <c r="A25" t="s">
        <v>535</v>
      </c>
      <c r="B25" t="s">
        <v>11</v>
      </c>
      <c r="C25" t="s">
        <v>12</v>
      </c>
      <c r="D25" t="s">
        <v>24</v>
      </c>
      <c r="E25" t="s">
        <v>25</v>
      </c>
      <c r="F25" t="s">
        <v>489</v>
      </c>
      <c r="G25" t="s">
        <v>489</v>
      </c>
      <c r="H25"/>
      <c r="I25"/>
      <c r="J25"/>
      <c r="K25" t="s">
        <v>3296</v>
      </c>
      <c r="L25">
        <v>12366</v>
      </c>
      <c r="M25" t="s">
        <v>811</v>
      </c>
      <c r="O25" s="13" t="str">
        <v>Lignans, neolignans and related compounds</v>
      </c>
      <c r="P25" s="1">
        <f>COUNTIFS(D8:D1581,O25)</f>
        <v>1</v>
      </c>
      <c r="Q25" s="13" t="str">
        <v>Phenylpropanoic acids</v>
      </c>
      <c r="R25" s="1">
        <f>COUNTIFS(E8:E1581,Q25)</f>
        <v>4</v>
      </c>
      <c r="S25" s="13" t="str">
        <v>Furanoisoflavonoids</v>
      </c>
      <c r="T25" s="14">
        <f>COUNTIFS(F8:F1581,S25)</f>
        <v>8</v>
      </c>
    </row>
    <row r="26" spans="1:20" ht="15" x14ac:dyDescent="0.25">
      <c r="A26" t="s">
        <v>525</v>
      </c>
      <c r="B26" t="s">
        <v>11</v>
      </c>
      <c r="C26" t="s">
        <v>12</v>
      </c>
      <c r="D26" t="s">
        <v>24</v>
      </c>
      <c r="E26" t="s">
        <v>25</v>
      </c>
      <c r="F26" t="s">
        <v>489</v>
      </c>
      <c r="G26" t="s">
        <v>489</v>
      </c>
      <c r="H26"/>
      <c r="I26"/>
      <c r="J26"/>
      <c r="K26" t="s">
        <v>3297</v>
      </c>
      <c r="L26">
        <v>5363269</v>
      </c>
      <c r="M26" t="s">
        <v>810</v>
      </c>
      <c r="O26" s="13"/>
      <c r="P26" s="1">
        <f>COUNTIFS(D8:D1581,O26)</f>
        <v>0</v>
      </c>
      <c r="Q26" s="13" t="str">
        <v>Vobasan alkaloids</v>
      </c>
      <c r="R26" s="1">
        <f>COUNTIFS(E8:E1581,Q26)</f>
        <v>1</v>
      </c>
      <c r="S26" s="13" t="str">
        <v>O-methylated isoflavonoids</v>
      </c>
      <c r="T26" s="14">
        <f>COUNTIFS(F8:F1581,S26)</f>
        <v>18</v>
      </c>
    </row>
    <row r="27" spans="1:20" ht="15" x14ac:dyDescent="0.25">
      <c r="A27" t="s">
        <v>479</v>
      </c>
      <c r="B27" t="s">
        <v>11</v>
      </c>
      <c r="C27" t="s">
        <v>12</v>
      </c>
      <c r="D27" t="s">
        <v>111</v>
      </c>
      <c r="E27" t="s">
        <v>304</v>
      </c>
      <c r="F27" t="s">
        <v>305</v>
      </c>
      <c r="G27" t="s">
        <v>382</v>
      </c>
      <c r="H27"/>
      <c r="I27"/>
      <c r="J27"/>
      <c r="K27" t="s">
        <v>3298</v>
      </c>
      <c r="L27">
        <v>44587441</v>
      </c>
      <c r="M27" t="s">
        <v>2496</v>
      </c>
      <c r="O27" s="13"/>
      <c r="P27" s="1">
        <f>COUNTIFS(D8:D1581,O27)</f>
        <v>0</v>
      </c>
      <c r="Q27" s="13" t="str">
        <v>Tropones</v>
      </c>
      <c r="R27" s="1">
        <f>COUNTIFS(E8:E1581,Q27)</f>
        <v>2</v>
      </c>
      <c r="S27" s="13" t="str">
        <v>Chalcones and dihydrochalcones</v>
      </c>
      <c r="T27" s="14">
        <f>COUNTIFS(F8:F1581,S27)</f>
        <v>9</v>
      </c>
    </row>
    <row r="28" spans="1:20" ht="15" x14ac:dyDescent="0.25">
      <c r="A28" t="s">
        <v>1173</v>
      </c>
      <c r="B28" t="s">
        <v>11</v>
      </c>
      <c r="C28" t="s">
        <v>12</v>
      </c>
      <c r="D28" t="s">
        <v>111</v>
      </c>
      <c r="E28" t="s">
        <v>304</v>
      </c>
      <c r="F28" t="s">
        <v>305</v>
      </c>
      <c r="G28" t="s">
        <v>382</v>
      </c>
      <c r="H28"/>
      <c r="I28"/>
      <c r="J28"/>
      <c r="K28" t="s">
        <v>3299</v>
      </c>
      <c r="L28">
        <v>21580275</v>
      </c>
      <c r="M28" t="s">
        <v>2497</v>
      </c>
      <c r="O28" s="13"/>
      <c r="Q28" s="13" t="str">
        <v>Unsaturated hydrocarbons</v>
      </c>
      <c r="R28" s="1">
        <f>COUNTIFS(E8:E1581,Q28)</f>
        <v>37</v>
      </c>
      <c r="S28" s="13" t="str">
        <v>Lineolic acids and derivatives</v>
      </c>
      <c r="T28" s="14">
        <f>COUNTIFS(F8:F1581,S28)</f>
        <v>12</v>
      </c>
    </row>
    <row r="29" spans="1:20" ht="15" x14ac:dyDescent="0.25">
      <c r="A29" t="s">
        <v>410</v>
      </c>
      <c r="B29" t="s">
        <v>11</v>
      </c>
      <c r="C29" t="s">
        <v>12</v>
      </c>
      <c r="D29" t="s">
        <v>111</v>
      </c>
      <c r="E29" t="s">
        <v>304</v>
      </c>
      <c r="F29" t="s">
        <v>305</v>
      </c>
      <c r="G29" t="s">
        <v>382</v>
      </c>
      <c r="H29"/>
      <c r="I29"/>
      <c r="J29"/>
      <c r="K29" t="s">
        <v>3300</v>
      </c>
      <c r="L29">
        <v>5919576</v>
      </c>
      <c r="M29" t="s">
        <v>782</v>
      </c>
      <c r="O29" s="15" t="s">
        <v>2360</v>
      </c>
      <c r="P29" s="18">
        <f>SUM(P8:P27)</f>
        <v>1500</v>
      </c>
      <c r="Q29" s="13" t="str">
        <v>Naphthalenes</v>
      </c>
      <c r="R29" s="1">
        <f>COUNTIFS(E8:E1581,Q29)</f>
        <v>2</v>
      </c>
      <c r="S29" s="13" t="str">
        <v>Fatty alcohols</v>
      </c>
      <c r="T29" s="14">
        <f>COUNTIFS(F8:F1581,S29)</f>
        <v>27</v>
      </c>
    </row>
    <row r="30" spans="1:20" ht="15" x14ac:dyDescent="0.25">
      <c r="A30" t="s">
        <v>330</v>
      </c>
      <c r="B30" t="s">
        <v>11</v>
      </c>
      <c r="C30" t="s">
        <v>12</v>
      </c>
      <c r="D30" t="s">
        <v>29</v>
      </c>
      <c r="E30" t="s">
        <v>30</v>
      </c>
      <c r="F30" t="s">
        <v>40</v>
      </c>
      <c r="G30" t="s">
        <v>47</v>
      </c>
      <c r="H30" t="s">
        <v>331</v>
      </c>
      <c r="I30"/>
      <c r="J30"/>
      <c r="K30" t="s">
        <v>3301</v>
      </c>
      <c r="L30">
        <v>5793</v>
      </c>
      <c r="M30" t="s">
        <v>2498</v>
      </c>
      <c r="Q30" s="13" t="str">
        <v>Azoles</v>
      </c>
      <c r="R30" s="1">
        <f>COUNTIFS(E8:E1581,Q30)</f>
        <v>4</v>
      </c>
      <c r="S30" s="13" t="str">
        <v>Cinnamic acids</v>
      </c>
      <c r="T30" s="14">
        <f>COUNTIFS(F8:F1581,S30)</f>
        <v>5</v>
      </c>
    </row>
    <row r="31" spans="1:20" ht="15" x14ac:dyDescent="0.25">
      <c r="A31" t="s">
        <v>340</v>
      </c>
      <c r="B31" t="s">
        <v>11</v>
      </c>
      <c r="C31" t="s">
        <v>12</v>
      </c>
      <c r="D31" t="s">
        <v>29</v>
      </c>
      <c r="E31" t="s">
        <v>30</v>
      </c>
      <c r="F31" t="s">
        <v>40</v>
      </c>
      <c r="G31" t="s">
        <v>47</v>
      </c>
      <c r="H31"/>
      <c r="I31"/>
      <c r="J31"/>
      <c r="K31" t="s">
        <v>3302</v>
      </c>
      <c r="L31">
        <v>439192</v>
      </c>
      <c r="M31" t="s">
        <v>2499</v>
      </c>
      <c r="Q31" s="13" t="str">
        <v>Isoquinolines and derivatives</v>
      </c>
      <c r="R31" s="1">
        <f>COUNTIFS(E8:E1581,Q31)</f>
        <v>3</v>
      </c>
      <c r="S31" s="13" t="str">
        <v>Flavonoid glycosides</v>
      </c>
      <c r="T31" s="14">
        <f>COUNTIFS(F8:F1581,S31)</f>
        <v>23</v>
      </c>
    </row>
    <row r="32" spans="1:20" ht="15" x14ac:dyDescent="0.25">
      <c r="A32" t="s">
        <v>46</v>
      </c>
      <c r="B32" t="s">
        <v>11</v>
      </c>
      <c r="C32" t="s">
        <v>12</v>
      </c>
      <c r="D32" t="s">
        <v>29</v>
      </c>
      <c r="E32" t="s">
        <v>30</v>
      </c>
      <c r="F32" t="s">
        <v>40</v>
      </c>
      <c r="G32" t="s">
        <v>47</v>
      </c>
      <c r="H32"/>
      <c r="I32"/>
      <c r="J32"/>
      <c r="K32" t="s">
        <v>3303</v>
      </c>
      <c r="L32">
        <v>2723872</v>
      </c>
      <c r="M32" t="s">
        <v>2500</v>
      </c>
      <c r="Q32" s="13" t="str">
        <v>Aspidospermatan-type alkaloids</v>
      </c>
      <c r="R32" s="1">
        <f>COUNTIFS(E8:E1581,Q32)</f>
        <v>2</v>
      </c>
      <c r="S32" s="13" t="str">
        <v>Isoflav-2-enes</v>
      </c>
      <c r="T32" s="14">
        <f>COUNTIFS(F8:F1581,S32)</f>
        <v>4</v>
      </c>
    </row>
    <row r="33" spans="1:20" ht="15" x14ac:dyDescent="0.25">
      <c r="A33" t="s">
        <v>359</v>
      </c>
      <c r="B33" t="s">
        <v>11</v>
      </c>
      <c r="C33" t="s">
        <v>12</v>
      </c>
      <c r="D33" t="s">
        <v>29</v>
      </c>
      <c r="E33" t="s">
        <v>30</v>
      </c>
      <c r="F33" t="s">
        <v>40</v>
      </c>
      <c r="G33" t="s">
        <v>41</v>
      </c>
      <c r="H33" t="s">
        <v>346</v>
      </c>
      <c r="I33"/>
      <c r="J33"/>
      <c r="K33" t="s">
        <v>3304</v>
      </c>
      <c r="L33">
        <v>5988</v>
      </c>
      <c r="M33" t="s">
        <v>766</v>
      </c>
      <c r="Q33" s="13" t="str">
        <v>Diazines</v>
      </c>
      <c r="R33" s="1">
        <f>COUNTIFS(E8:E1581,Q33)</f>
        <v>6</v>
      </c>
      <c r="S33" s="13" t="str">
        <v>Alcohols and polyols</v>
      </c>
      <c r="T33" s="14">
        <f>COUNTIFS(F8:F1581,S33)</f>
        <v>38</v>
      </c>
    </row>
    <row r="34" spans="1:20" ht="15" x14ac:dyDescent="0.25">
      <c r="A34" t="s">
        <v>1915</v>
      </c>
      <c r="B34" t="s">
        <v>11</v>
      </c>
      <c r="C34" t="s">
        <v>12</v>
      </c>
      <c r="D34" t="s">
        <v>29</v>
      </c>
      <c r="E34" t="s">
        <v>30</v>
      </c>
      <c r="F34" t="s">
        <v>40</v>
      </c>
      <c r="G34" t="s">
        <v>362</v>
      </c>
      <c r="H34"/>
      <c r="I34"/>
      <c r="J34"/>
      <c r="K34" t="s">
        <v>3305</v>
      </c>
      <c r="L34">
        <v>6251</v>
      </c>
      <c r="M34" t="s">
        <v>2114</v>
      </c>
      <c r="Q34" s="13" t="str">
        <v>Benzothiazoles</v>
      </c>
      <c r="R34" s="1">
        <f>COUNTIFS(E8:E1581,Q34)</f>
        <v>1</v>
      </c>
      <c r="S34" s="13">
        <v>0</v>
      </c>
      <c r="T34" s="14">
        <f>COUNTIFS(F8:F1581,S34)</f>
        <v>0</v>
      </c>
    </row>
    <row r="35" spans="1:20" ht="15" x14ac:dyDescent="0.25">
      <c r="A35" t="s">
        <v>1597</v>
      </c>
      <c r="B35" t="s">
        <v>11</v>
      </c>
      <c r="C35" t="s">
        <v>12</v>
      </c>
      <c r="D35" t="s">
        <v>111</v>
      </c>
      <c r="E35" t="s">
        <v>120</v>
      </c>
      <c r="F35" t="s">
        <v>1592</v>
      </c>
      <c r="G35" t="s">
        <v>1598</v>
      </c>
      <c r="H35"/>
      <c r="I35"/>
      <c r="J35"/>
      <c r="K35" t="s">
        <v>3306</v>
      </c>
      <c r="L35">
        <v>4101463</v>
      </c>
      <c r="M35" t="s">
        <v>2007</v>
      </c>
      <c r="Q35" s="13" t="str">
        <v>Morphinans</v>
      </c>
      <c r="R35" s="1">
        <f>COUNTIFS(E8:E1581,Q35)</f>
        <v>4</v>
      </c>
      <c r="S35" s="13" t="str">
        <v>Methoxyphenols</v>
      </c>
      <c r="T35" s="14">
        <f>COUNTIFS(F8:F1581,S35)</f>
        <v>17</v>
      </c>
    </row>
    <row r="36" spans="1:20" ht="15" x14ac:dyDescent="0.25">
      <c r="A36" t="s">
        <v>1602</v>
      </c>
      <c r="B36" t="s">
        <v>11</v>
      </c>
      <c r="C36" t="s">
        <v>12</v>
      </c>
      <c r="D36" t="s">
        <v>111</v>
      </c>
      <c r="E36" t="s">
        <v>120</v>
      </c>
      <c r="F36" t="s">
        <v>1592</v>
      </c>
      <c r="G36" t="s">
        <v>1598</v>
      </c>
      <c r="H36"/>
      <c r="I36"/>
      <c r="J36"/>
      <c r="K36" t="s">
        <v>3307</v>
      </c>
      <c r="L36">
        <v>6950539</v>
      </c>
      <c r="M36" t="s">
        <v>2007</v>
      </c>
      <c r="Q36" s="13" t="str">
        <v>Quinolines and derivatives</v>
      </c>
      <c r="R36" s="1">
        <f>COUNTIFS(E8:E1581,Q36)</f>
        <v>3</v>
      </c>
      <c r="S36" s="13" t="str">
        <v>Anthraquinones</v>
      </c>
      <c r="T36" s="14">
        <f>COUNTIFS(F8:F1581,S36)</f>
        <v>5</v>
      </c>
    </row>
    <row r="37" spans="1:20" ht="15" x14ac:dyDescent="0.25">
      <c r="A37" t="s">
        <v>1610</v>
      </c>
      <c r="B37" t="s">
        <v>11</v>
      </c>
      <c r="C37" t="s">
        <v>12</v>
      </c>
      <c r="D37" t="s">
        <v>111</v>
      </c>
      <c r="E37" t="s">
        <v>120</v>
      </c>
      <c r="F37" t="s">
        <v>121</v>
      </c>
      <c r="G37" t="s">
        <v>122</v>
      </c>
      <c r="H37" t="s">
        <v>123</v>
      </c>
      <c r="I37"/>
      <c r="J37"/>
      <c r="K37" t="s">
        <v>3308</v>
      </c>
      <c r="L37">
        <v>148556</v>
      </c>
      <c r="M37" t="s">
        <v>2501</v>
      </c>
      <c r="Q37" s="13" t="str">
        <v>Oxazinanes</v>
      </c>
      <c r="R37" s="1">
        <f>COUNTIFS(E8:E1581,Q37)</f>
        <v>2</v>
      </c>
      <c r="S37" s="13" t="str">
        <v>1-hydroxy-4-unsubstituted benzenoids</v>
      </c>
      <c r="T37" s="14">
        <f>COUNTIFS(F8:F1581,S37)</f>
        <v>4</v>
      </c>
    </row>
    <row r="38" spans="1:20" ht="15" x14ac:dyDescent="0.25">
      <c r="A38" t="s">
        <v>1926</v>
      </c>
      <c r="B38" t="s">
        <v>11</v>
      </c>
      <c r="C38" t="s">
        <v>12</v>
      </c>
      <c r="D38" t="s">
        <v>24</v>
      </c>
      <c r="E38" t="s">
        <v>54</v>
      </c>
      <c r="F38" t="s">
        <v>986</v>
      </c>
      <c r="G38" t="s">
        <v>986</v>
      </c>
      <c r="H38"/>
      <c r="I38"/>
      <c r="J38"/>
      <c r="K38" t="s">
        <v>3309</v>
      </c>
      <c r="L38">
        <v>246983</v>
      </c>
      <c r="M38" t="s">
        <v>2118</v>
      </c>
      <c r="Q38" s="13" t="str">
        <v>Pyridines and derivatives</v>
      </c>
      <c r="R38" s="1">
        <f>COUNTIFS(E8:E1581,Q38)</f>
        <v>4</v>
      </c>
      <c r="S38" s="13" t="str">
        <v>Cinnamylphenols</v>
      </c>
      <c r="T38" s="14">
        <f>COUNTIFS(F8:F1581,S38)</f>
        <v>1</v>
      </c>
    </row>
    <row r="39" spans="1:20" ht="15" x14ac:dyDescent="0.25">
      <c r="A39" t="s">
        <v>1927</v>
      </c>
      <c r="B39" t="s">
        <v>11</v>
      </c>
      <c r="C39" t="s">
        <v>12</v>
      </c>
      <c r="D39" t="s">
        <v>24</v>
      </c>
      <c r="E39" t="s">
        <v>94</v>
      </c>
      <c r="F39" t="s">
        <v>1199</v>
      </c>
      <c r="G39" t="s">
        <v>1199</v>
      </c>
      <c r="H39"/>
      <c r="I39"/>
      <c r="J39"/>
      <c r="K39" t="s">
        <v>3310</v>
      </c>
      <c r="L39">
        <v>92110</v>
      </c>
      <c r="M39" t="s">
        <v>2119</v>
      </c>
      <c r="Q39" s="13" t="str">
        <v>Diazanaphthalenes</v>
      </c>
      <c r="R39" s="1">
        <f>COUNTIFS(E8:E1581,Q39)</f>
        <v>3</v>
      </c>
      <c r="S39" s="13" t="str">
        <v>Monoterpenoids</v>
      </c>
      <c r="T39" s="14">
        <f>COUNTIFS(F8:F1581,S39)</f>
        <v>124</v>
      </c>
    </row>
    <row r="40" spans="1:20" ht="15" x14ac:dyDescent="0.25">
      <c r="A40" t="s">
        <v>2283</v>
      </c>
      <c r="B40" t="s">
        <v>11</v>
      </c>
      <c r="C40" t="s">
        <v>12</v>
      </c>
      <c r="D40" t="s">
        <v>24</v>
      </c>
      <c r="E40" t="s">
        <v>54</v>
      </c>
      <c r="F40" t="s">
        <v>986</v>
      </c>
      <c r="G40" t="s">
        <v>986</v>
      </c>
      <c r="H40"/>
      <c r="I40"/>
      <c r="J40"/>
      <c r="K40" t="s">
        <v>3311</v>
      </c>
      <c r="L40">
        <v>15942855</v>
      </c>
      <c r="M40" t="s">
        <v>2502</v>
      </c>
      <c r="Q40" s="13" t="str">
        <v>Isoindoles and derivatives</v>
      </c>
      <c r="R40" s="1">
        <f>COUNTIFS(E8:E1581,Q40)</f>
        <v>1</v>
      </c>
      <c r="S40" s="13" t="str">
        <v>Tyrosols and derivatives</v>
      </c>
      <c r="T40" s="14">
        <f>COUNTIFS(F8:F1581,S40)</f>
        <v>1</v>
      </c>
    </row>
    <row r="41" spans="1:20" ht="15" x14ac:dyDescent="0.25">
      <c r="A41" t="s">
        <v>18</v>
      </c>
      <c r="B41" t="s">
        <v>11</v>
      </c>
      <c r="C41" t="s">
        <v>19</v>
      </c>
      <c r="D41" t="s">
        <v>20</v>
      </c>
      <c r="E41" t="s">
        <v>21</v>
      </c>
      <c r="F41" t="s">
        <v>22</v>
      </c>
      <c r="G41" t="s">
        <v>22</v>
      </c>
      <c r="H41"/>
      <c r="I41"/>
      <c r="J41"/>
      <c r="K41" t="s">
        <v>3312</v>
      </c>
      <c r="L41">
        <v>1004</v>
      </c>
      <c r="M41" t="s">
        <v>722</v>
      </c>
      <c r="Q41" s="13" t="str">
        <v>Pentacenequinones</v>
      </c>
      <c r="R41" s="1">
        <f>COUNTIFS(E8:E1581,Q41)</f>
        <v>1</v>
      </c>
      <c r="S41" s="13" t="str">
        <v>Carbonyl compounds</v>
      </c>
      <c r="T41" s="14">
        <f>COUNTIFS(F8:F1581,S41)</f>
        <v>69</v>
      </c>
    </row>
    <row r="42" spans="1:20" ht="15" x14ac:dyDescent="0.25">
      <c r="A42" t="s">
        <v>869</v>
      </c>
      <c r="B42" t="s">
        <v>11</v>
      </c>
      <c r="C42" t="s">
        <v>12</v>
      </c>
      <c r="D42" t="s">
        <v>228</v>
      </c>
      <c r="E42" t="s">
        <v>229</v>
      </c>
      <c r="F42" t="s">
        <v>230</v>
      </c>
      <c r="G42" t="s">
        <v>230</v>
      </c>
      <c r="H42"/>
      <c r="I42"/>
      <c r="J42"/>
      <c r="K42" t="s">
        <v>3313</v>
      </c>
      <c r="L42">
        <v>12534</v>
      </c>
      <c r="M42" t="s">
        <v>1087</v>
      </c>
      <c r="Q42" s="13" t="str">
        <v>Organonitrogen compounds</v>
      </c>
      <c r="R42" s="1">
        <f>COUNTIFS(E8:E1581,Q42)</f>
        <v>3</v>
      </c>
      <c r="S42" s="13" t="str">
        <v>Sesquiterpenoids</v>
      </c>
      <c r="T42" s="14">
        <f>COUNTIFS(F8:F1581,S42)</f>
        <v>196</v>
      </c>
    </row>
    <row r="43" spans="1:20" ht="15" x14ac:dyDescent="0.25">
      <c r="A43" t="s">
        <v>487</v>
      </c>
      <c r="B43" t="s">
        <v>11</v>
      </c>
      <c r="C43" t="s">
        <v>12</v>
      </c>
      <c r="D43" t="s">
        <v>24</v>
      </c>
      <c r="E43" t="s">
        <v>476</v>
      </c>
      <c r="F43" t="s">
        <v>477</v>
      </c>
      <c r="G43" t="s">
        <v>478</v>
      </c>
      <c r="H43"/>
      <c r="I43"/>
      <c r="J43"/>
      <c r="K43" t="s">
        <v>3314</v>
      </c>
      <c r="L43">
        <v>3681</v>
      </c>
      <c r="M43" t="s">
        <v>2503</v>
      </c>
      <c r="Q43" s="13" t="str">
        <v>Coumarins and derivatives</v>
      </c>
      <c r="R43" s="1">
        <f>COUNTIFS(E8:E1581,Q43)</f>
        <v>13</v>
      </c>
      <c r="S43" s="13" t="str">
        <v>Beta hydroxy acids and derivatives</v>
      </c>
      <c r="T43" s="14">
        <f>COUNTIFS(F8:F1581,S43)</f>
        <v>1</v>
      </c>
    </row>
    <row r="44" spans="1:20" ht="15" x14ac:dyDescent="0.25">
      <c r="A44" t="s">
        <v>1631</v>
      </c>
      <c r="B44" t="s">
        <v>11</v>
      </c>
      <c r="C44" t="s">
        <v>12</v>
      </c>
      <c r="D44" t="s">
        <v>111</v>
      </c>
      <c r="E44" t="s">
        <v>120</v>
      </c>
      <c r="F44" t="s">
        <v>1592</v>
      </c>
      <c r="G44" t="s">
        <v>1598</v>
      </c>
      <c r="H44"/>
      <c r="I44"/>
      <c r="J44"/>
      <c r="K44" t="s">
        <v>3315</v>
      </c>
      <c r="L44">
        <v>5281954</v>
      </c>
      <c r="M44" t="s">
        <v>2504</v>
      </c>
      <c r="Q44" s="13" t="str">
        <v>Benzazepines</v>
      </c>
      <c r="R44" s="1">
        <f>COUNTIFS(E8:E1581,Q44)</f>
        <v>1</v>
      </c>
      <c r="S44" s="13" t="str">
        <v>Cycloalkanes</v>
      </c>
      <c r="T44" s="14">
        <f>COUNTIFS(F8:F1581,S44)</f>
        <v>5</v>
      </c>
    </row>
    <row r="45" spans="1:20" ht="15" x14ac:dyDescent="0.25">
      <c r="A45" t="s">
        <v>2147</v>
      </c>
      <c r="B45" t="s">
        <v>11</v>
      </c>
      <c r="C45" t="s">
        <v>12</v>
      </c>
      <c r="D45" t="s">
        <v>24</v>
      </c>
      <c r="E45" t="s">
        <v>54</v>
      </c>
      <c r="F45" t="s">
        <v>420</v>
      </c>
      <c r="G45" t="s">
        <v>420</v>
      </c>
      <c r="H45"/>
      <c r="I45"/>
      <c r="J45"/>
      <c r="K45" t="s">
        <v>3316</v>
      </c>
      <c r="L45">
        <v>44584269</v>
      </c>
      <c r="M45" t="s">
        <v>2505</v>
      </c>
      <c r="Q45" s="13" t="str">
        <v>Tetrahydrofurans</v>
      </c>
      <c r="R45" s="1">
        <f>COUNTIFS(E8:E1581,Q45)</f>
        <v>5</v>
      </c>
      <c r="S45" s="13" t="str">
        <v>Unsaturated aliphatic hydrocarbons</v>
      </c>
      <c r="T45" s="14">
        <f>COUNTIFS(F8:F1581,S45)</f>
        <v>21</v>
      </c>
    </row>
    <row r="46" spans="1:20" ht="15" x14ac:dyDescent="0.25">
      <c r="A46" t="s">
        <v>311</v>
      </c>
      <c r="B46" t="s">
        <v>11</v>
      </c>
      <c r="C46" t="s">
        <v>12</v>
      </c>
      <c r="D46" t="s">
        <v>111</v>
      </c>
      <c r="E46" t="s">
        <v>304</v>
      </c>
      <c r="F46" t="s">
        <v>305</v>
      </c>
      <c r="G46" t="s">
        <v>306</v>
      </c>
      <c r="H46"/>
      <c r="I46"/>
      <c r="J46"/>
      <c r="K46" t="s">
        <v>3317</v>
      </c>
      <c r="L46">
        <v>54691412</v>
      </c>
      <c r="M46" t="s">
        <v>2506</v>
      </c>
      <c r="Q46" s="13" t="str">
        <v>Phenol ethers</v>
      </c>
      <c r="R46" s="1">
        <f>COUNTIFS(E8:E1581,Q46)</f>
        <v>8</v>
      </c>
      <c r="S46" s="13" t="str">
        <v>Pyrazoles</v>
      </c>
      <c r="T46" s="14">
        <f>COUNTIFS(F8:F1581,S46)</f>
        <v>4</v>
      </c>
    </row>
    <row r="47" spans="1:20" ht="15" x14ac:dyDescent="0.25">
      <c r="A47" t="s">
        <v>1706</v>
      </c>
      <c r="B47" t="s">
        <v>11</v>
      </c>
      <c r="C47" t="s">
        <v>12</v>
      </c>
      <c r="D47" t="s">
        <v>111</v>
      </c>
      <c r="E47" t="s">
        <v>1071</v>
      </c>
      <c r="F47" t="s">
        <v>1701</v>
      </c>
      <c r="G47" t="s">
        <v>1702</v>
      </c>
      <c r="H47"/>
      <c r="I47"/>
      <c r="J47"/>
      <c r="K47" t="s">
        <v>3318</v>
      </c>
      <c r="L47">
        <v>336327</v>
      </c>
      <c r="M47" t="s">
        <v>2047</v>
      </c>
      <c r="Q47" s="13" t="str">
        <v>Cinnamaldehydes</v>
      </c>
      <c r="R47" s="1">
        <f>COUNTIFS(E8:E1581,Q47)</f>
        <v>2</v>
      </c>
      <c r="S47" s="13" t="str">
        <v>Benzylisoquinolines</v>
      </c>
      <c r="T47" s="14">
        <f>COUNTIFS(F8:F1581,S7)</f>
        <v>0</v>
      </c>
    </row>
    <row r="48" spans="1:20" ht="15" x14ac:dyDescent="0.25">
      <c r="A48" t="s">
        <v>1723</v>
      </c>
      <c r="B48" t="s">
        <v>11</v>
      </c>
      <c r="C48" t="s">
        <v>12</v>
      </c>
      <c r="D48" t="s">
        <v>111</v>
      </c>
      <c r="E48" t="s">
        <v>1071</v>
      </c>
      <c r="F48" t="s">
        <v>1590</v>
      </c>
      <c r="G48" t="s">
        <v>1591</v>
      </c>
      <c r="H48" t="s">
        <v>1651</v>
      </c>
      <c r="I48"/>
      <c r="J48"/>
      <c r="K48" t="s">
        <v>3319</v>
      </c>
      <c r="L48">
        <v>5280448</v>
      </c>
      <c r="M48" t="s">
        <v>2053</v>
      </c>
      <c r="Q48" s="13" t="str">
        <v>Cinnamyl alcohols</v>
      </c>
      <c r="R48" s="1">
        <f>COUNTIFS(E8:E1581,Q48)</f>
        <v>1</v>
      </c>
      <c r="S48" s="13" t="str">
        <v>Pyrimidines and pyrimidine derivatives</v>
      </c>
      <c r="T48" s="14">
        <f>COUNTIFS(F8:F1581,S48)</f>
        <v>4</v>
      </c>
    </row>
    <row r="49" spans="1:20" ht="15" x14ac:dyDescent="0.25">
      <c r="A49" t="s">
        <v>1616</v>
      </c>
      <c r="B49" t="s">
        <v>11</v>
      </c>
      <c r="C49" t="s">
        <v>12</v>
      </c>
      <c r="D49" t="s">
        <v>111</v>
      </c>
      <c r="E49" t="s">
        <v>120</v>
      </c>
      <c r="F49" t="s">
        <v>121</v>
      </c>
      <c r="G49" t="s">
        <v>122</v>
      </c>
      <c r="H49"/>
      <c r="I49"/>
      <c r="J49"/>
      <c r="K49" t="s">
        <v>3320</v>
      </c>
      <c r="L49">
        <v>114829</v>
      </c>
      <c r="M49" t="s">
        <v>2012</v>
      </c>
      <c r="Q49" s="13" t="str">
        <v>Tannins</v>
      </c>
      <c r="R49" s="1">
        <f>COUNTIFS(E8:E1581,Q49)</f>
        <v>3</v>
      </c>
      <c r="S49" s="13" t="str">
        <v>Benzoquinolines</v>
      </c>
      <c r="T49" s="14">
        <f>COUNTIFS(F8:F1581,S49)</f>
        <v>1</v>
      </c>
    </row>
    <row r="50" spans="1:20" ht="15" x14ac:dyDescent="0.25">
      <c r="A50" t="s">
        <v>1863</v>
      </c>
      <c r="B50" t="s">
        <v>11</v>
      </c>
      <c r="C50" t="s">
        <v>12</v>
      </c>
      <c r="D50" t="s">
        <v>111</v>
      </c>
      <c r="E50" t="s">
        <v>120</v>
      </c>
      <c r="F50" t="s">
        <v>1226</v>
      </c>
      <c r="G50" t="s">
        <v>1864</v>
      </c>
      <c r="H50"/>
      <c r="I50"/>
      <c r="J50"/>
      <c r="K50" t="s">
        <v>3321</v>
      </c>
      <c r="L50">
        <v>10047854</v>
      </c>
      <c r="M50" t="s">
        <v>2099</v>
      </c>
      <c r="Q50" s="13" t="str">
        <v>Diarylheptanoids</v>
      </c>
      <c r="R50" s="1">
        <f>COUNTIFS(E8:E1581,Q50)</f>
        <v>2</v>
      </c>
      <c r="S50" s="13" t="str">
        <v>Morpholines</v>
      </c>
      <c r="T50" s="14">
        <f>COUNTIFS(F8:F1581,S50)</f>
        <v>2</v>
      </c>
    </row>
    <row r="51" spans="1:20" ht="15" x14ac:dyDescent="0.25">
      <c r="A51" t="s">
        <v>1713</v>
      </c>
      <c r="B51" t="s">
        <v>11</v>
      </c>
      <c r="C51" t="s">
        <v>12</v>
      </c>
      <c r="D51" t="s">
        <v>111</v>
      </c>
      <c r="E51" t="s">
        <v>1071</v>
      </c>
      <c r="F51" t="s">
        <v>1590</v>
      </c>
      <c r="G51" t="s">
        <v>1591</v>
      </c>
      <c r="H51"/>
      <c r="I51"/>
      <c r="J51"/>
      <c r="K51" t="s">
        <v>3322</v>
      </c>
      <c r="L51">
        <v>92503</v>
      </c>
      <c r="M51" t="s">
        <v>2050</v>
      </c>
      <c r="Q51" s="13" t="str">
        <v>Indanes</v>
      </c>
      <c r="R51" s="1">
        <f>COUNTIFS(E8:E1581,Q51)</f>
        <v>1</v>
      </c>
      <c r="S51" s="13" t="str">
        <v>Medium-chain hydroxy acids and derivatives</v>
      </c>
      <c r="T51" s="14">
        <f>COUNTIFS(F8:F1581,S51)</f>
        <v>2</v>
      </c>
    </row>
    <row r="52" spans="1:20" ht="15" x14ac:dyDescent="0.25">
      <c r="A52" t="s">
        <v>1855</v>
      </c>
      <c r="B52" t="s">
        <v>11</v>
      </c>
      <c r="C52" t="s">
        <v>12</v>
      </c>
      <c r="D52" t="s">
        <v>111</v>
      </c>
      <c r="E52" t="s">
        <v>120</v>
      </c>
      <c r="F52" t="s">
        <v>121</v>
      </c>
      <c r="G52" t="s">
        <v>1856</v>
      </c>
      <c r="H52" t="s">
        <v>1857</v>
      </c>
      <c r="I52"/>
      <c r="J52"/>
      <c r="K52" t="s">
        <v>3323</v>
      </c>
      <c r="L52">
        <v>155094</v>
      </c>
      <c r="M52" t="s">
        <v>2096</v>
      </c>
      <c r="Q52" s="13" t="str">
        <v>Sulfonyls</v>
      </c>
      <c r="R52" s="1">
        <f>COUNTIFS(E8:E1581,Q52)</f>
        <v>1</v>
      </c>
      <c r="S52" s="13" t="str">
        <v>Pyridinecarboxylic acids and derivatives</v>
      </c>
      <c r="T52" s="14">
        <f>COUNTIFS(F8:F1581,S52)</f>
        <v>1</v>
      </c>
    </row>
    <row r="53" spans="1:20" ht="15" x14ac:dyDescent="0.25">
      <c r="A53" t="s">
        <v>1852</v>
      </c>
      <c r="B53" t="s">
        <v>11</v>
      </c>
      <c r="C53" t="s">
        <v>12</v>
      </c>
      <c r="D53" t="s">
        <v>111</v>
      </c>
      <c r="E53" t="s">
        <v>120</v>
      </c>
      <c r="F53" t="s">
        <v>121</v>
      </c>
      <c r="G53" t="s">
        <v>1853</v>
      </c>
      <c r="H53" t="s">
        <v>1854</v>
      </c>
      <c r="I53"/>
      <c r="J53"/>
      <c r="K53" t="s">
        <v>3324</v>
      </c>
      <c r="L53">
        <v>480764</v>
      </c>
      <c r="M53" t="s">
        <v>2095</v>
      </c>
      <c r="Q53" s="13" t="str">
        <v>Oxepanes</v>
      </c>
      <c r="R53" s="1">
        <f>COUNTIFS(E8:E1581,Q53)</f>
        <v>5</v>
      </c>
      <c r="S53" s="13" t="str">
        <v>Benzodiazines</v>
      </c>
      <c r="T53" s="14">
        <f>COUNTIFS(F8:F1581,S53)</f>
        <v>3</v>
      </c>
    </row>
    <row r="54" spans="1:20" ht="15" x14ac:dyDescent="0.25">
      <c r="A54" t="s">
        <v>1782</v>
      </c>
      <c r="B54" t="s">
        <v>11</v>
      </c>
      <c r="C54" t="s">
        <v>12</v>
      </c>
      <c r="D54" t="s">
        <v>111</v>
      </c>
      <c r="E54" t="s">
        <v>304</v>
      </c>
      <c r="F54" t="s">
        <v>305</v>
      </c>
      <c r="G54" t="s">
        <v>382</v>
      </c>
      <c r="H54"/>
      <c r="I54"/>
      <c r="J54"/>
      <c r="K54" t="s">
        <v>3325</v>
      </c>
      <c r="L54">
        <v>15086370</v>
      </c>
      <c r="M54" t="s">
        <v>2507</v>
      </c>
      <c r="Q54" s="13" t="str">
        <v>Tetralins</v>
      </c>
      <c r="R54" s="1">
        <f>COUNTIFS(E8:E1581,Q54)</f>
        <v>1</v>
      </c>
      <c r="S54" s="13" t="str">
        <v>Isoindolines</v>
      </c>
      <c r="T54" s="14">
        <f>COUNTIFS(F8:F1581,S54)</f>
        <v>1</v>
      </c>
    </row>
    <row r="55" spans="1:20" ht="15" x14ac:dyDescent="0.25">
      <c r="A55" t="s">
        <v>1293</v>
      </c>
      <c r="B55" t="s">
        <v>11</v>
      </c>
      <c r="C55" t="s">
        <v>12</v>
      </c>
      <c r="D55" t="s">
        <v>111</v>
      </c>
      <c r="E55" t="s">
        <v>304</v>
      </c>
      <c r="F55" t="s">
        <v>305</v>
      </c>
      <c r="G55" t="s">
        <v>382</v>
      </c>
      <c r="H55"/>
      <c r="I55"/>
      <c r="J55"/>
      <c r="K55" t="s">
        <v>3326</v>
      </c>
      <c r="L55">
        <v>129728780</v>
      </c>
      <c r="M55" t="s">
        <v>1509</v>
      </c>
      <c r="Q55" s="13" t="str">
        <v>Lactones</v>
      </c>
      <c r="R55" s="1">
        <f>COUNTIFS(E8:E1581,Q55)</f>
        <v>4</v>
      </c>
      <c r="S55" s="13" t="str">
        <v>Androstane steroids</v>
      </c>
      <c r="T55" s="14">
        <f>COUNTIFS(F8:F1581,S55)</f>
        <v>2</v>
      </c>
    </row>
    <row r="56" spans="1:20" ht="15" x14ac:dyDescent="0.25">
      <c r="A56" t="s">
        <v>1027</v>
      </c>
      <c r="B56" t="s">
        <v>11</v>
      </c>
      <c r="C56" t="s">
        <v>12</v>
      </c>
      <c r="D56" t="s">
        <v>111</v>
      </c>
      <c r="E56" t="s">
        <v>1024</v>
      </c>
      <c r="F56" t="s">
        <v>1025</v>
      </c>
      <c r="G56" t="s">
        <v>1028</v>
      </c>
      <c r="H56"/>
      <c r="I56"/>
      <c r="J56"/>
      <c r="K56" t="s">
        <v>3327</v>
      </c>
      <c r="L56">
        <v>6474295</v>
      </c>
      <c r="M56" t="s">
        <v>1137</v>
      </c>
      <c r="Q56" s="13" t="str">
        <v>Organometalloid compounds</v>
      </c>
      <c r="R56" s="1">
        <f>COUNTIFS(E8:E1581,Q56)</f>
        <v>7</v>
      </c>
      <c r="S56" s="13" t="str">
        <v>Amino acids, peptides, and analogues</v>
      </c>
      <c r="T56" s="14">
        <f>COUNTIFS(F8:F1581,S56)</f>
        <v>34</v>
      </c>
    </row>
    <row r="57" spans="1:20" ht="15" x14ac:dyDescent="0.25">
      <c r="A57" t="s">
        <v>1674</v>
      </c>
      <c r="B57" t="s">
        <v>11</v>
      </c>
      <c r="C57" t="s">
        <v>12</v>
      </c>
      <c r="D57" t="s">
        <v>111</v>
      </c>
      <c r="E57" t="s">
        <v>120</v>
      </c>
      <c r="F57" t="s">
        <v>1226</v>
      </c>
      <c r="G57" t="s">
        <v>1227</v>
      </c>
      <c r="H57"/>
      <c r="I57"/>
      <c r="J57"/>
      <c r="K57" t="s">
        <v>3328</v>
      </c>
      <c r="L57">
        <v>5280863</v>
      </c>
      <c r="M57" t="s">
        <v>2034</v>
      </c>
      <c r="Q57" s="13" t="str">
        <v>Protoberberine alkaloids and derivatives</v>
      </c>
      <c r="R57" s="1">
        <f>COUNTIFS(E8:E1581,Q57)</f>
        <v>1</v>
      </c>
      <c r="S57" s="13" t="str">
        <v>Carboxylic acids</v>
      </c>
      <c r="T57" s="14">
        <f>COUNTIFS(F8:F1581,S57)</f>
        <v>4</v>
      </c>
    </row>
    <row r="58" spans="1:20" ht="15" x14ac:dyDescent="0.25">
      <c r="A58" t="s">
        <v>1492</v>
      </c>
      <c r="B58" t="s">
        <v>11</v>
      </c>
      <c r="C58" t="s">
        <v>12</v>
      </c>
      <c r="D58" t="s">
        <v>111</v>
      </c>
      <c r="E58" t="s">
        <v>1024</v>
      </c>
      <c r="F58" t="s">
        <v>1025</v>
      </c>
      <c r="G58" t="s">
        <v>1028</v>
      </c>
      <c r="H58"/>
      <c r="I58"/>
      <c r="J58"/>
      <c r="K58" t="s">
        <v>3329</v>
      </c>
      <c r="L58">
        <v>5316793</v>
      </c>
      <c r="M58" t="s">
        <v>1575</v>
      </c>
      <c r="Q58" s="13" t="str">
        <v>Alkyl halides</v>
      </c>
      <c r="R58" s="1">
        <f>COUNTIFS(E8:E1581,Q58)</f>
        <v>1</v>
      </c>
      <c r="S58" s="13" t="str">
        <v>Amines</v>
      </c>
      <c r="T58" s="14">
        <f>COUNTIFS(F8:F1581,S58)</f>
        <v>3</v>
      </c>
    </row>
    <row r="59" spans="1:20" ht="15" x14ac:dyDescent="0.25">
      <c r="A59" t="s">
        <v>1865</v>
      </c>
      <c r="B59" t="s">
        <v>11</v>
      </c>
      <c r="C59" t="s">
        <v>12</v>
      </c>
      <c r="D59" t="s">
        <v>111</v>
      </c>
      <c r="E59" t="s">
        <v>120</v>
      </c>
      <c r="F59" t="s">
        <v>1226</v>
      </c>
      <c r="G59" t="s">
        <v>1227</v>
      </c>
      <c r="H59"/>
      <c r="I59"/>
      <c r="J59"/>
      <c r="K59" t="s">
        <v>3330</v>
      </c>
      <c r="L59">
        <v>5280343</v>
      </c>
      <c r="M59" t="s">
        <v>2100</v>
      </c>
      <c r="Q59" s="13" t="str">
        <v>Stilbenes</v>
      </c>
      <c r="R59" s="1">
        <f>COUNTIFS(E8:E1581,Q59)</f>
        <v>3</v>
      </c>
      <c r="S59" s="13" t="str">
        <v>Coumarin glycosides</v>
      </c>
      <c r="T59" s="14">
        <f>COUNTIFS(F8:F1581,S59)</f>
        <v>1</v>
      </c>
    </row>
    <row r="60" spans="1:20" ht="15" x14ac:dyDescent="0.25">
      <c r="A60" t="s">
        <v>1908</v>
      </c>
      <c r="B60" t="s">
        <v>11</v>
      </c>
      <c r="C60" t="s">
        <v>12</v>
      </c>
      <c r="D60" t="s">
        <v>29</v>
      </c>
      <c r="E60" t="s">
        <v>30</v>
      </c>
      <c r="F60" t="s">
        <v>40</v>
      </c>
      <c r="G60" t="s">
        <v>362</v>
      </c>
      <c r="H60"/>
      <c r="I60"/>
      <c r="J60"/>
      <c r="K60" t="s">
        <v>3331</v>
      </c>
      <c r="L60">
        <v>753</v>
      </c>
      <c r="M60" t="s">
        <v>2113</v>
      </c>
      <c r="Q60" s="13" t="str">
        <v>Acyclic allenes</v>
      </c>
      <c r="R60" s="1">
        <f>COUNTIFS(E8:E1581,Q60)</f>
        <v>1</v>
      </c>
      <c r="S60" s="13" t="str">
        <v>Dibenzazepines</v>
      </c>
      <c r="T60" s="14">
        <f>COUNTIFS(F8:F1581,S60)</f>
        <v>1</v>
      </c>
    </row>
    <row r="61" spans="1:20" ht="15" x14ac:dyDescent="0.25">
      <c r="A61" t="s">
        <v>343</v>
      </c>
      <c r="B61" t="s">
        <v>11</v>
      </c>
      <c r="C61" t="s">
        <v>12</v>
      </c>
      <c r="D61" t="s">
        <v>29</v>
      </c>
      <c r="E61" t="s">
        <v>30</v>
      </c>
      <c r="F61" t="s">
        <v>40</v>
      </c>
      <c r="G61" t="s">
        <v>41</v>
      </c>
      <c r="H61" t="s">
        <v>344</v>
      </c>
      <c r="I61"/>
      <c r="J61"/>
      <c r="K61" t="s">
        <v>3332</v>
      </c>
      <c r="L61">
        <v>439163</v>
      </c>
      <c r="M61" t="s">
        <v>2508</v>
      </c>
      <c r="Q61" s="13" t="str">
        <v>Benzofurans</v>
      </c>
      <c r="R61" s="1">
        <f>COUNTIFS(E8:E1581,Q61)</f>
        <v>1</v>
      </c>
      <c r="S61" s="13" t="str">
        <v>1-hydroxy-2-unsubstituted benzenoids</v>
      </c>
      <c r="T61" s="14">
        <f>COUNTIFS(F8:F1581,S61)</f>
        <v>3</v>
      </c>
    </row>
    <row r="62" spans="1:20" ht="15" x14ac:dyDescent="0.25">
      <c r="A62" t="s">
        <v>1987</v>
      </c>
      <c r="B62" t="s">
        <v>11</v>
      </c>
      <c r="C62" t="s">
        <v>12</v>
      </c>
      <c r="D62" t="s">
        <v>24</v>
      </c>
      <c r="E62" t="s">
        <v>54</v>
      </c>
      <c r="F62" t="s">
        <v>420</v>
      </c>
      <c r="G62" t="s">
        <v>420</v>
      </c>
      <c r="H62"/>
      <c r="I62"/>
      <c r="J62"/>
      <c r="K62" t="s">
        <v>3333</v>
      </c>
      <c r="L62">
        <v>92783</v>
      </c>
      <c r="M62" t="s">
        <v>2135</v>
      </c>
      <c r="Q62" s="13" t="str">
        <v>Organic oxides</v>
      </c>
      <c r="R62" s="1">
        <f>COUNTIFS(E8:E1581,Q62)</f>
        <v>1</v>
      </c>
      <c r="S62" s="13" t="str">
        <v>Phenylpropenes</v>
      </c>
      <c r="T62" s="14">
        <f>COUNTIFS(F8:F1581,S62)</f>
        <v>1</v>
      </c>
    </row>
    <row r="63" spans="1:20" ht="15" x14ac:dyDescent="0.25">
      <c r="A63" t="s">
        <v>1986</v>
      </c>
      <c r="B63" t="s">
        <v>11</v>
      </c>
      <c r="C63" t="s">
        <v>12</v>
      </c>
      <c r="D63" t="s">
        <v>24</v>
      </c>
      <c r="E63" t="s">
        <v>54</v>
      </c>
      <c r="F63" t="s">
        <v>420</v>
      </c>
      <c r="G63" t="s">
        <v>420</v>
      </c>
      <c r="H63"/>
      <c r="I63"/>
      <c r="J63"/>
      <c r="K63" t="s">
        <v>3334</v>
      </c>
      <c r="L63">
        <v>94391</v>
      </c>
      <c r="M63" t="s">
        <v>2134</v>
      </c>
      <c r="Q63" s="13" t="str">
        <v>Heteroaromatic compounds</v>
      </c>
      <c r="R63" s="1">
        <f>COUNTIFS(E8:E1581,Q63)</f>
        <v>4</v>
      </c>
      <c r="S63" s="13" t="str">
        <v>Phenylpropanes</v>
      </c>
      <c r="T63" s="14">
        <f>COUNTIFS(F8:F1581,S63)</f>
        <v>3</v>
      </c>
    </row>
    <row r="64" spans="1:20" ht="15" x14ac:dyDescent="0.25">
      <c r="A64" t="s">
        <v>1975</v>
      </c>
      <c r="B64" t="s">
        <v>11</v>
      </c>
      <c r="C64" t="s">
        <v>12</v>
      </c>
      <c r="D64" t="s">
        <v>24</v>
      </c>
      <c r="E64" t="s">
        <v>54</v>
      </c>
      <c r="F64" t="s">
        <v>986</v>
      </c>
      <c r="G64" t="s">
        <v>986</v>
      </c>
      <c r="H64"/>
      <c r="I64"/>
      <c r="J64"/>
      <c r="K64" t="s">
        <v>3335</v>
      </c>
      <c r="L64">
        <v>259846</v>
      </c>
      <c r="M64" t="s">
        <v>2132</v>
      </c>
      <c r="Q64" s="13" t="str">
        <v>Coumarans</v>
      </c>
      <c r="R64" s="1">
        <f>COUNTIFS(E8:E1581,Q64)</f>
        <v>1</v>
      </c>
      <c r="S64" s="13" t="str">
        <v>Fatty alcohol esters</v>
      </c>
      <c r="T64" s="14">
        <f>COUNTIFS(F8:F1581,S64)</f>
        <v>10</v>
      </c>
    </row>
    <row r="65" spans="1:20" ht="15" x14ac:dyDescent="0.25">
      <c r="A65" t="s">
        <v>558</v>
      </c>
      <c r="B65" t="s">
        <v>11</v>
      </c>
      <c r="C65" t="s">
        <v>12</v>
      </c>
      <c r="D65" t="s">
        <v>24</v>
      </c>
      <c r="E65" t="s">
        <v>25</v>
      </c>
      <c r="F65" t="s">
        <v>388</v>
      </c>
      <c r="G65" t="s">
        <v>389</v>
      </c>
      <c r="H65"/>
      <c r="I65"/>
      <c r="J65"/>
      <c r="K65" t="s">
        <v>3336</v>
      </c>
      <c r="L65">
        <v>5282750</v>
      </c>
      <c r="M65" t="s">
        <v>819</v>
      </c>
      <c r="Q65" s="13" t="str">
        <v>Organochlorides</v>
      </c>
      <c r="R65" s="1">
        <f>COUNTIFS(E8:E1581,Q65)</f>
        <v>2</v>
      </c>
      <c r="S65" s="13" t="str">
        <v>Anisoles</v>
      </c>
      <c r="T65" s="14">
        <f>COUNTIFS(F8:F1581,S65)</f>
        <v>8</v>
      </c>
    </row>
    <row r="66" spans="1:20" ht="15" x14ac:dyDescent="0.25">
      <c r="A66" t="s">
        <v>519</v>
      </c>
      <c r="B66" t="s">
        <v>11</v>
      </c>
      <c r="C66" t="s">
        <v>12</v>
      </c>
      <c r="D66" t="s">
        <v>24</v>
      </c>
      <c r="E66" t="s">
        <v>25</v>
      </c>
      <c r="F66" t="s">
        <v>489</v>
      </c>
      <c r="G66" t="s">
        <v>500</v>
      </c>
      <c r="H66"/>
      <c r="I66"/>
      <c r="J66"/>
      <c r="K66" t="s">
        <v>3337</v>
      </c>
      <c r="L66">
        <v>31284</v>
      </c>
      <c r="M66" t="s">
        <v>809</v>
      </c>
      <c r="Q66" s="13" t="str">
        <v>Macrolides and analogues</v>
      </c>
      <c r="R66" s="1">
        <f>COUNTIFS(E8:E1581,Q66)</f>
        <v>1</v>
      </c>
      <c r="S66" s="13" t="str">
        <v>Methoxybenzenes</v>
      </c>
      <c r="T66" s="14">
        <f>COUNTIFS(F8:F1581,S66)</f>
        <v>8</v>
      </c>
    </row>
    <row r="67" spans="1:20" ht="15" x14ac:dyDescent="0.25">
      <c r="A67" t="s">
        <v>517</v>
      </c>
      <c r="B67" t="s">
        <v>11</v>
      </c>
      <c r="C67" t="s">
        <v>12</v>
      </c>
      <c r="D67" t="s">
        <v>24</v>
      </c>
      <c r="E67" t="s">
        <v>25</v>
      </c>
      <c r="F67" t="s">
        <v>489</v>
      </c>
      <c r="G67" t="s">
        <v>500</v>
      </c>
      <c r="H67"/>
      <c r="I67"/>
      <c r="J67"/>
      <c r="K67" t="s">
        <v>3338</v>
      </c>
      <c r="L67">
        <v>15608</v>
      </c>
      <c r="M67" t="s">
        <v>2509</v>
      </c>
      <c r="Q67" s="13" t="str">
        <v>Keto acids and derivatives</v>
      </c>
      <c r="R67" s="1">
        <f>COUNTIFS(E8:E1581,Q67)</f>
        <v>1</v>
      </c>
      <c r="S67" s="13" t="str">
        <v>Benzyl alcohols</v>
      </c>
      <c r="T67" s="14">
        <f>COUNTIFS(F8:F1581,S67)</f>
        <v>4</v>
      </c>
    </row>
    <row r="68" spans="1:20" ht="15" x14ac:dyDescent="0.25">
      <c r="A68" t="s">
        <v>506</v>
      </c>
      <c r="B68" t="s">
        <v>11</v>
      </c>
      <c r="C68" t="s">
        <v>12</v>
      </c>
      <c r="D68" t="s">
        <v>24</v>
      </c>
      <c r="E68" t="s">
        <v>25</v>
      </c>
      <c r="F68" t="s">
        <v>489</v>
      </c>
      <c r="G68" t="s">
        <v>500</v>
      </c>
      <c r="H68"/>
      <c r="I68"/>
      <c r="J68"/>
      <c r="K68" t="s">
        <v>3339</v>
      </c>
      <c r="L68">
        <v>8050</v>
      </c>
      <c r="M68" t="s">
        <v>2510</v>
      </c>
      <c r="Q68" s="13" t="str">
        <v>Oxanes</v>
      </c>
      <c r="R68" s="1">
        <f>COUNTIFS(E8:E1581,Q68)</f>
        <v>3</v>
      </c>
      <c r="S68" s="13" t="str">
        <v>Cinnamic acid esters</v>
      </c>
      <c r="T68" s="14">
        <f>COUNTIFS(F8:F1581,S68)</f>
        <v>8</v>
      </c>
    </row>
    <row r="69" spans="1:20" ht="15" x14ac:dyDescent="0.25">
      <c r="A69" t="s">
        <v>598</v>
      </c>
      <c r="B69" t="s">
        <v>11</v>
      </c>
      <c r="C69" t="s">
        <v>12</v>
      </c>
      <c r="D69" t="s">
        <v>24</v>
      </c>
      <c r="E69" t="s">
        <v>25</v>
      </c>
      <c r="F69" t="s">
        <v>489</v>
      </c>
      <c r="G69" t="s">
        <v>500</v>
      </c>
      <c r="H69"/>
      <c r="I69"/>
      <c r="J69"/>
      <c r="K69" t="s">
        <v>3340</v>
      </c>
      <c r="L69">
        <v>21205</v>
      </c>
      <c r="M69" t="s">
        <v>833</v>
      </c>
      <c r="Q69" s="13" t="str">
        <v>Organobromides</v>
      </c>
      <c r="R69" s="1">
        <f>COUNTIFS(E8:E1581,Q69)</f>
        <v>1</v>
      </c>
      <c r="S69" s="13" t="str">
        <v>Benzoyl derivatives</v>
      </c>
      <c r="T69" s="14">
        <f>COUNTIFS(F8:F1581,S69)</f>
        <v>7</v>
      </c>
    </row>
    <row r="70" spans="1:20" ht="15" x14ac:dyDescent="0.25">
      <c r="A70" t="s">
        <v>518</v>
      </c>
      <c r="B70" t="s">
        <v>11</v>
      </c>
      <c r="C70" t="s">
        <v>12</v>
      </c>
      <c r="D70" t="s">
        <v>24</v>
      </c>
      <c r="E70" t="s">
        <v>25</v>
      </c>
      <c r="F70" t="s">
        <v>489</v>
      </c>
      <c r="G70" t="s">
        <v>500</v>
      </c>
      <c r="H70"/>
      <c r="I70"/>
      <c r="J70"/>
      <c r="K70" t="s">
        <v>3341</v>
      </c>
      <c r="L70">
        <v>8181</v>
      </c>
      <c r="M70" t="s">
        <v>2511</v>
      </c>
      <c r="Q70" s="13" t="str">
        <v>Aurone flavonoids</v>
      </c>
      <c r="R70" s="1">
        <f>COUNTIFS(E8:E1581,Q70)</f>
        <v>1</v>
      </c>
      <c r="S70" s="13" t="str">
        <v>Xylenes</v>
      </c>
      <c r="T70" s="14">
        <f>COUNTIFS(F8:F1581,S70)</f>
        <v>3</v>
      </c>
    </row>
    <row r="71" spans="1:20" ht="15" x14ac:dyDescent="0.25">
      <c r="A71" t="s">
        <v>1201</v>
      </c>
      <c r="B71" t="s">
        <v>11</v>
      </c>
      <c r="C71" t="s">
        <v>12</v>
      </c>
      <c r="D71" t="s">
        <v>24</v>
      </c>
      <c r="E71" t="s">
        <v>25</v>
      </c>
      <c r="F71" t="s">
        <v>489</v>
      </c>
      <c r="G71" t="s">
        <v>500</v>
      </c>
      <c r="H71"/>
      <c r="I71"/>
      <c r="J71"/>
      <c r="K71" t="s">
        <v>3342</v>
      </c>
      <c r="L71">
        <v>522345</v>
      </c>
      <c r="M71" t="s">
        <v>2512</v>
      </c>
      <c r="Q71" s="13" t="str">
        <v>Thianes</v>
      </c>
      <c r="R71" s="1">
        <f>COUNTIFS(E8:E1581,Q71)</f>
        <v>1</v>
      </c>
      <c r="S71" s="13" t="str">
        <v>Benzenetriols and derivatives</v>
      </c>
      <c r="T71" s="14">
        <f>COUNTIFS(F8:F1581,S71)</f>
        <v>3</v>
      </c>
    </row>
    <row r="72" spans="1:20" ht="15" x14ac:dyDescent="0.25">
      <c r="A72" t="s">
        <v>577</v>
      </c>
      <c r="B72" t="s">
        <v>11</v>
      </c>
      <c r="C72" t="s">
        <v>12</v>
      </c>
      <c r="D72" t="s">
        <v>24</v>
      </c>
      <c r="E72" t="s">
        <v>25</v>
      </c>
      <c r="F72" t="s">
        <v>388</v>
      </c>
      <c r="G72" t="s">
        <v>389</v>
      </c>
      <c r="H72"/>
      <c r="I72"/>
      <c r="J72"/>
      <c r="K72" t="s">
        <v>3343</v>
      </c>
      <c r="L72">
        <v>13849</v>
      </c>
      <c r="M72" t="s">
        <v>827</v>
      </c>
      <c r="Q72" s="13" t="str">
        <v>Pyrans</v>
      </c>
      <c r="R72" s="1">
        <f>COUNTIFS(E8:E1581,Q72)</f>
        <v>2</v>
      </c>
      <c r="S72" s="13" t="str">
        <v>Hydrolyzable tannins</v>
      </c>
      <c r="T72" s="14">
        <f>COUNTIFS(F8:F1581,S72)</f>
        <v>3</v>
      </c>
    </row>
    <row r="73" spans="1:20" ht="15" x14ac:dyDescent="0.25">
      <c r="A73" t="s">
        <v>575</v>
      </c>
      <c r="B73" t="s">
        <v>11</v>
      </c>
      <c r="C73" t="s">
        <v>12</v>
      </c>
      <c r="D73" t="s">
        <v>24</v>
      </c>
      <c r="E73" t="s">
        <v>25</v>
      </c>
      <c r="F73" t="s">
        <v>388</v>
      </c>
      <c r="G73" t="s">
        <v>389</v>
      </c>
      <c r="H73"/>
      <c r="I73"/>
      <c r="J73"/>
      <c r="K73" t="s">
        <v>3344</v>
      </c>
      <c r="L73">
        <v>10465</v>
      </c>
      <c r="M73" t="s">
        <v>825</v>
      </c>
      <c r="Q73" s="13" t="str">
        <v>Phenanthrenes and derivatives</v>
      </c>
      <c r="R73" s="1">
        <f>COUNTIFS(E8:E1581,Q73)</f>
        <v>1</v>
      </c>
      <c r="S73" s="13" t="str">
        <v>Halobenzenes</v>
      </c>
      <c r="T73" s="14">
        <f>COUNTIFS(F8:F1581,S73)</f>
        <v>1</v>
      </c>
    </row>
    <row r="74" spans="1:20" ht="15" x14ac:dyDescent="0.25">
      <c r="A74" t="s">
        <v>1290</v>
      </c>
      <c r="B74" t="s">
        <v>11</v>
      </c>
      <c r="C74" t="s">
        <v>12</v>
      </c>
      <c r="D74" t="s">
        <v>24</v>
      </c>
      <c r="E74" t="s">
        <v>25</v>
      </c>
      <c r="F74" t="s">
        <v>489</v>
      </c>
      <c r="G74" t="s">
        <v>500</v>
      </c>
      <c r="H74"/>
      <c r="I74"/>
      <c r="J74"/>
      <c r="K74" t="s">
        <v>3345</v>
      </c>
      <c r="L74">
        <v>5365566</v>
      </c>
      <c r="M74" t="s">
        <v>1507</v>
      </c>
      <c r="Q74" s="13" t="str">
        <v>Depsides and depsidones</v>
      </c>
      <c r="R74" s="1">
        <f>COUNTIFS(E8:E1581,Q74)</f>
        <v>3</v>
      </c>
      <c r="S74" s="13" t="str">
        <v>Hydroxycoumarins</v>
      </c>
      <c r="T74" s="14">
        <v>74</v>
      </c>
    </row>
    <row r="75" spans="1:20" ht="15" x14ac:dyDescent="0.25">
      <c r="A75" t="s">
        <v>1291</v>
      </c>
      <c r="B75" t="s">
        <v>11</v>
      </c>
      <c r="C75" t="s">
        <v>12</v>
      </c>
      <c r="D75" t="s">
        <v>24</v>
      </c>
      <c r="E75" t="s">
        <v>25</v>
      </c>
      <c r="F75" t="s">
        <v>489</v>
      </c>
      <c r="G75" t="s">
        <v>500</v>
      </c>
      <c r="H75"/>
      <c r="I75"/>
      <c r="J75"/>
      <c r="K75" t="s">
        <v>3346</v>
      </c>
      <c r="L75">
        <v>5365579</v>
      </c>
      <c r="M75" t="s">
        <v>2513</v>
      </c>
      <c r="Q75" s="13" t="str">
        <v>Indoles and derivatives</v>
      </c>
      <c r="R75" s="1">
        <f>COUNTIFS(E8:E1581,Q75)</f>
        <v>2</v>
      </c>
      <c r="S75" s="13" t="str">
        <v>Linear diarylheptanoids</v>
      </c>
      <c r="T75" s="14">
        <f>COUNTIFS(F8:F1581,S75)</f>
        <v>2</v>
      </c>
    </row>
    <row r="76" spans="1:20" ht="15" x14ac:dyDescent="0.25">
      <c r="A76" t="s">
        <v>1294</v>
      </c>
      <c r="B76" t="s">
        <v>11</v>
      </c>
      <c r="C76" t="s">
        <v>12</v>
      </c>
      <c r="D76" t="s">
        <v>24</v>
      </c>
      <c r="E76" t="s">
        <v>25</v>
      </c>
      <c r="F76" t="s">
        <v>489</v>
      </c>
      <c r="G76" t="s">
        <v>500</v>
      </c>
      <c r="H76"/>
      <c r="I76"/>
      <c r="J76"/>
      <c r="K76" t="s">
        <v>3347</v>
      </c>
      <c r="L76">
        <v>549033</v>
      </c>
      <c r="M76" t="s">
        <v>1510</v>
      </c>
      <c r="Q76" s="13" t="str">
        <v>Organic trisulfides</v>
      </c>
      <c r="R76" s="1">
        <f>COUNTIFS(E8:E1581,Q76)</f>
        <v>1</v>
      </c>
      <c r="S76" s="13" t="str">
        <v>Benzenediols</v>
      </c>
      <c r="T76" s="14">
        <f>COUNTIFS(F8:F1581,S76)</f>
        <v>8</v>
      </c>
    </row>
    <row r="77" spans="1:20" ht="15" x14ac:dyDescent="0.25">
      <c r="A77" t="s">
        <v>527</v>
      </c>
      <c r="B77" t="s">
        <v>11</v>
      </c>
      <c r="C77" t="s">
        <v>12</v>
      </c>
      <c r="D77" t="s">
        <v>24</v>
      </c>
      <c r="E77" t="s">
        <v>25</v>
      </c>
      <c r="F77" t="s">
        <v>489</v>
      </c>
      <c r="G77" t="s">
        <v>500</v>
      </c>
      <c r="H77"/>
      <c r="I77"/>
      <c r="J77"/>
      <c r="K77" t="s">
        <v>3348</v>
      </c>
      <c r="L77">
        <v>5364432</v>
      </c>
      <c r="M77" t="s">
        <v>2514</v>
      </c>
      <c r="Q77" s="13" t="str">
        <v>Dihydrofurans</v>
      </c>
      <c r="R77" s="1">
        <f>COUNTIFS(E8:E1581,Q77)</f>
        <v>4</v>
      </c>
      <c r="S77" s="13" t="str">
        <v>Sulfones</v>
      </c>
      <c r="T77" s="14">
        <f>COUNTIFS(F8:F1581,S7)</f>
        <v>0</v>
      </c>
    </row>
    <row r="78" spans="1:20" ht="15" x14ac:dyDescent="0.25">
      <c r="A78" t="s">
        <v>1402</v>
      </c>
      <c r="B78" t="s">
        <v>11</v>
      </c>
      <c r="C78" t="s">
        <v>12</v>
      </c>
      <c r="D78" t="s">
        <v>24</v>
      </c>
      <c r="E78" t="s">
        <v>25</v>
      </c>
      <c r="F78" t="s">
        <v>504</v>
      </c>
      <c r="G78" t="s">
        <v>504</v>
      </c>
      <c r="H78"/>
      <c r="I78"/>
      <c r="J78"/>
      <c r="K78" t="s">
        <v>3349</v>
      </c>
      <c r="L78">
        <v>5364511</v>
      </c>
      <c r="M78" t="s">
        <v>1547</v>
      </c>
      <c r="Q78" s="13" t="str">
        <v>Benzopyrans</v>
      </c>
      <c r="R78" s="1">
        <f>COUNTIFS(E8:E1581,Q78)</f>
        <v>9</v>
      </c>
      <c r="S78" s="13" t="str">
        <v>Aniline and substituted anilines</v>
      </c>
      <c r="T78" s="14">
        <f>COUNTIFS(F8:F1581,S78)</f>
        <v>1</v>
      </c>
    </row>
    <row r="79" spans="1:20" ht="15" x14ac:dyDescent="0.25">
      <c r="A79" t="s">
        <v>1188</v>
      </c>
      <c r="B79" t="s">
        <v>11</v>
      </c>
      <c r="C79" t="s">
        <v>12</v>
      </c>
      <c r="D79" t="s">
        <v>24</v>
      </c>
      <c r="E79" t="s">
        <v>25</v>
      </c>
      <c r="F79" t="s">
        <v>489</v>
      </c>
      <c r="G79" t="s">
        <v>500</v>
      </c>
      <c r="H79"/>
      <c r="I79"/>
      <c r="J79"/>
      <c r="K79" t="s">
        <v>3350</v>
      </c>
      <c r="L79">
        <v>5366845</v>
      </c>
      <c r="M79" t="s">
        <v>2515</v>
      </c>
      <c r="Q79" s="13" t="str">
        <v>Triazines</v>
      </c>
      <c r="R79" s="1">
        <f>COUNTIFS(E8:E1581,Q79)</f>
        <v>1</v>
      </c>
      <c r="S79" s="13" t="str">
        <v>Toluenes</v>
      </c>
      <c r="T79" s="14">
        <f>COUNTIFS(F8:F1581,S79)</f>
        <v>2</v>
      </c>
    </row>
    <row r="80" spans="1:20" ht="15" x14ac:dyDescent="0.25">
      <c r="A80" t="s">
        <v>516</v>
      </c>
      <c r="B80" t="s">
        <v>11</v>
      </c>
      <c r="C80" t="s">
        <v>12</v>
      </c>
      <c r="D80" t="s">
        <v>24</v>
      </c>
      <c r="E80" t="s">
        <v>25</v>
      </c>
      <c r="F80" t="s">
        <v>489</v>
      </c>
      <c r="G80" t="s">
        <v>500</v>
      </c>
      <c r="H80"/>
      <c r="I80"/>
      <c r="J80"/>
      <c r="K80" t="s">
        <v>3351</v>
      </c>
      <c r="L80">
        <v>543305</v>
      </c>
      <c r="M80" t="s">
        <v>808</v>
      </c>
      <c r="Q80" s="13" t="str">
        <v>Polycyclic hydrocarbons</v>
      </c>
      <c r="R80" s="1">
        <f>COUNTIFS(E8:E1581,Q80)</f>
        <v>1</v>
      </c>
      <c r="S80" s="13" t="str">
        <v>Styrenes</v>
      </c>
      <c r="T80" s="14">
        <f>COUNTIFS(F8:F1581,S80)</f>
        <v>6</v>
      </c>
    </row>
    <row r="81" spans="1:20" ht="15" x14ac:dyDescent="0.25">
      <c r="A81" t="s">
        <v>510</v>
      </c>
      <c r="B81" t="s">
        <v>11</v>
      </c>
      <c r="C81" t="s">
        <v>12</v>
      </c>
      <c r="D81" t="s">
        <v>24</v>
      </c>
      <c r="E81" t="s">
        <v>25</v>
      </c>
      <c r="F81" t="s">
        <v>489</v>
      </c>
      <c r="G81" t="s">
        <v>500</v>
      </c>
      <c r="H81"/>
      <c r="I81"/>
      <c r="J81"/>
      <c r="K81" t="s">
        <v>3352</v>
      </c>
      <c r="L81">
        <v>14029831</v>
      </c>
      <c r="M81" t="s">
        <v>808</v>
      </c>
      <c r="Q81" s="13" t="str">
        <v>Oxacyclic compounds</v>
      </c>
      <c r="R81" s="1">
        <f>COUNTIFS(E8:E1581,Q81)</f>
        <v>1</v>
      </c>
      <c r="S81" s="13" t="str">
        <v>Fatty amides</v>
      </c>
      <c r="T81" s="14">
        <f>COUNTIFS(F8:F1581,S81)</f>
        <v>1</v>
      </c>
    </row>
    <row r="82" spans="1:20" ht="15" x14ac:dyDescent="0.25">
      <c r="A82" t="s">
        <v>557</v>
      </c>
      <c r="B82" t="s">
        <v>11</v>
      </c>
      <c r="C82" t="s">
        <v>12</v>
      </c>
      <c r="D82" t="s">
        <v>24</v>
      </c>
      <c r="E82" t="s">
        <v>25</v>
      </c>
      <c r="F82" t="s">
        <v>489</v>
      </c>
      <c r="G82" t="s">
        <v>500</v>
      </c>
      <c r="H82"/>
      <c r="I82"/>
      <c r="J82"/>
      <c r="K82" t="s">
        <v>3353</v>
      </c>
      <c r="L82">
        <v>8201</v>
      </c>
      <c r="M82" t="s">
        <v>2516</v>
      </c>
      <c r="Q82" s="13" t="str">
        <v>Indenes and isoindenes</v>
      </c>
      <c r="R82" s="1">
        <f>COUNTIFS(E8:E1581,Q82)</f>
        <v>1</v>
      </c>
      <c r="S82" s="13" t="str">
        <v>Cresols</v>
      </c>
      <c r="T82" s="14">
        <f>COUNTIFS(F8:F1581,S82)</f>
        <v>3</v>
      </c>
    </row>
    <row r="83" spans="1:20" ht="15" x14ac:dyDescent="0.25">
      <c r="A83" t="s">
        <v>537</v>
      </c>
      <c r="B83" t="s">
        <v>11</v>
      </c>
      <c r="C83" t="s">
        <v>12</v>
      </c>
      <c r="D83" t="s">
        <v>24</v>
      </c>
      <c r="E83" t="s">
        <v>25</v>
      </c>
      <c r="F83" t="s">
        <v>388</v>
      </c>
      <c r="G83" t="s">
        <v>389</v>
      </c>
      <c r="H83"/>
      <c r="I83"/>
      <c r="J83"/>
      <c r="K83" t="s">
        <v>3354</v>
      </c>
      <c r="L83">
        <v>5282745</v>
      </c>
      <c r="M83" t="s">
        <v>812</v>
      </c>
      <c r="Q83" s="13" t="str">
        <v>Dibenzylbutane lignans</v>
      </c>
      <c r="R83" s="1">
        <f>COUNTIFS(E8:E1581,Q83)</f>
        <v>1</v>
      </c>
      <c r="S83" s="13" t="str">
        <v>Furanocoumarins</v>
      </c>
      <c r="T83" s="14">
        <f>COUNTIFS(F8:F1581,S83)</f>
        <v>4</v>
      </c>
    </row>
    <row r="84" spans="1:20" ht="15" x14ac:dyDescent="0.25">
      <c r="A84" t="s">
        <v>592</v>
      </c>
      <c r="B84" t="s">
        <v>11</v>
      </c>
      <c r="C84" t="s">
        <v>12</v>
      </c>
      <c r="D84" t="s">
        <v>24</v>
      </c>
      <c r="E84" t="s">
        <v>25</v>
      </c>
      <c r="F84" t="s">
        <v>388</v>
      </c>
      <c r="G84" t="s">
        <v>571</v>
      </c>
      <c r="H84"/>
      <c r="I84"/>
      <c r="J84"/>
      <c r="K84" t="s">
        <v>3355</v>
      </c>
      <c r="L84">
        <v>5281116</v>
      </c>
      <c r="M84" t="s">
        <v>832</v>
      </c>
      <c r="Q84" s="13" t="str">
        <v>Other non-metal organides</v>
      </c>
      <c r="R84" s="1">
        <f>COUNTIFS(E8:E1581,Q84)</f>
        <v>1</v>
      </c>
      <c r="S84" s="13" t="str">
        <v>Benzophenones</v>
      </c>
      <c r="T84" s="14">
        <f>COUNTIFS(F8:F1581,S84)</f>
        <v>2</v>
      </c>
    </row>
    <row r="85" spans="1:20" ht="15" x14ac:dyDescent="0.25">
      <c r="A85" t="s">
        <v>51</v>
      </c>
      <c r="B85" t="s">
        <v>11</v>
      </c>
      <c r="C85" t="s">
        <v>12</v>
      </c>
      <c r="D85" t="s">
        <v>24</v>
      </c>
      <c r="E85" t="s">
        <v>25</v>
      </c>
      <c r="F85" t="s">
        <v>26</v>
      </c>
      <c r="G85" t="s">
        <v>52</v>
      </c>
      <c r="H85"/>
      <c r="I85"/>
      <c r="J85"/>
      <c r="K85" t="s">
        <v>3356</v>
      </c>
      <c r="L85">
        <v>5364483</v>
      </c>
      <c r="M85" t="s">
        <v>2517</v>
      </c>
      <c r="Q85" s="13" t="str">
        <v>Benzodioxoles</v>
      </c>
      <c r="R85" s="1">
        <f>COUNTIFS(E8:E1581,Q85)</f>
        <v>1</v>
      </c>
      <c r="S85" s="13" t="str">
        <v>Gamma butyrolactones</v>
      </c>
      <c r="T85" s="14">
        <f>COUNTIFS(F8:F1581,S85)</f>
        <v>4</v>
      </c>
    </row>
    <row r="86" spans="1:20" ht="15" x14ac:dyDescent="0.25">
      <c r="A86" t="s">
        <v>584</v>
      </c>
      <c r="B86" t="s">
        <v>11</v>
      </c>
      <c r="C86" t="s">
        <v>12</v>
      </c>
      <c r="D86" t="s">
        <v>24</v>
      </c>
      <c r="E86" t="s">
        <v>25</v>
      </c>
      <c r="F86" t="s">
        <v>388</v>
      </c>
      <c r="G86" t="s">
        <v>389</v>
      </c>
      <c r="H86"/>
      <c r="I86"/>
      <c r="J86"/>
      <c r="K86" t="s">
        <v>3357</v>
      </c>
      <c r="L86">
        <v>5312402</v>
      </c>
      <c r="M86" t="s">
        <v>2518</v>
      </c>
      <c r="Q86" s="13" t="str">
        <v>Neoflavonoids</v>
      </c>
      <c r="R86" s="1">
        <f>COUNTIFS(E8:E1581,Q86)</f>
        <v>1</v>
      </c>
      <c r="S86" s="13" t="str">
        <v>Organosilicon compounds</v>
      </c>
      <c r="T86" s="14">
        <f>COUNTIFS(F8:F1581,S86)</f>
        <v>7</v>
      </c>
    </row>
    <row r="87" spans="1:20" ht="15" x14ac:dyDescent="0.25">
      <c r="A87" t="s">
        <v>1186</v>
      </c>
      <c r="B87" t="s">
        <v>11</v>
      </c>
      <c r="C87" t="s">
        <v>12</v>
      </c>
      <c r="D87" t="s">
        <v>24</v>
      </c>
      <c r="E87" t="s">
        <v>25</v>
      </c>
      <c r="F87" t="s">
        <v>489</v>
      </c>
      <c r="G87" t="s">
        <v>489</v>
      </c>
      <c r="H87"/>
      <c r="I87"/>
      <c r="J87"/>
      <c r="K87" t="s">
        <v>3358</v>
      </c>
      <c r="L87">
        <v>7788</v>
      </c>
      <c r="M87" t="s">
        <v>2519</v>
      </c>
      <c r="Q87" s="13" t="str">
        <v>Homoisoflavonoids</v>
      </c>
      <c r="R87" s="1">
        <f>COUNTIFS(E8:E1581,Q87)</f>
        <v>1</v>
      </c>
      <c r="S87" s="13" t="str">
        <v>Hydropyridines</v>
      </c>
      <c r="T87" s="14">
        <f>COUNTIFS(F8:F1581,S87)</f>
        <v>1</v>
      </c>
    </row>
    <row r="88" spans="1:20" ht="15" x14ac:dyDescent="0.25">
      <c r="A88" t="s">
        <v>625</v>
      </c>
      <c r="B88" t="s">
        <v>11</v>
      </c>
      <c r="C88" t="s">
        <v>12</v>
      </c>
      <c r="D88" t="s">
        <v>228</v>
      </c>
      <c r="E88" t="s">
        <v>229</v>
      </c>
      <c r="F88" t="s">
        <v>230</v>
      </c>
      <c r="G88" t="s">
        <v>231</v>
      </c>
      <c r="H88"/>
      <c r="I88"/>
      <c r="J88"/>
      <c r="K88" t="s">
        <v>3359</v>
      </c>
      <c r="L88">
        <v>137081</v>
      </c>
      <c r="M88" t="s">
        <v>842</v>
      </c>
      <c r="Q88" s="13"/>
      <c r="R88" s="1">
        <f>COUNTIFS(E8:E1581,Q88)</f>
        <v>0</v>
      </c>
      <c r="S88" s="13" t="str">
        <v>Cholestane steroids</v>
      </c>
      <c r="T88" s="14">
        <f>COUNTIFS(F8:F1581,S88)</f>
        <v>5</v>
      </c>
    </row>
    <row r="89" spans="1:20" ht="15" x14ac:dyDescent="0.25">
      <c r="A89" t="s">
        <v>880</v>
      </c>
      <c r="B89" t="s">
        <v>11</v>
      </c>
      <c r="C89" t="s">
        <v>12</v>
      </c>
      <c r="D89" t="s">
        <v>228</v>
      </c>
      <c r="E89" t="s">
        <v>229</v>
      </c>
      <c r="F89" t="s">
        <v>230</v>
      </c>
      <c r="G89" t="s">
        <v>230</v>
      </c>
      <c r="H89"/>
      <c r="I89"/>
      <c r="J89"/>
      <c r="K89" t="s">
        <v>3360</v>
      </c>
      <c r="L89">
        <v>11006</v>
      </c>
      <c r="M89" t="s">
        <v>2520</v>
      </c>
      <c r="Q89" s="13"/>
      <c r="R89" s="1">
        <f>COUNTIFS(E8:E1581,Q89)</f>
        <v>0</v>
      </c>
      <c r="S89" s="13" t="str">
        <v>Hopanoids</v>
      </c>
      <c r="T89" s="14">
        <f>COUNTIFS(F8:F1581,S89)</f>
        <v>1</v>
      </c>
    </row>
    <row r="90" spans="1:20" ht="15" x14ac:dyDescent="0.25">
      <c r="A90" t="s">
        <v>524</v>
      </c>
      <c r="B90" t="s">
        <v>11</v>
      </c>
      <c r="C90" t="s">
        <v>12</v>
      </c>
      <c r="D90" t="s">
        <v>24</v>
      </c>
      <c r="E90" t="s">
        <v>25</v>
      </c>
      <c r="F90" t="s">
        <v>489</v>
      </c>
      <c r="G90" t="s">
        <v>500</v>
      </c>
      <c r="H90"/>
      <c r="I90"/>
      <c r="J90"/>
      <c r="K90" t="s">
        <v>3361</v>
      </c>
      <c r="L90">
        <v>14259</v>
      </c>
      <c r="M90" t="s">
        <v>2521</v>
      </c>
      <c r="Q90" s="13"/>
      <c r="R90" s="1">
        <f>COUNTIFS(E8:E1581,Q90)</f>
        <v>0</v>
      </c>
      <c r="S90" s="13" t="str">
        <v>Cyclohexyl halides</v>
      </c>
      <c r="T90" s="14">
        <f>COUNTIFS(F8:F1581,S90)</f>
        <v>1</v>
      </c>
    </row>
    <row r="91" spans="1:20" ht="15" x14ac:dyDescent="0.25">
      <c r="A91" t="s">
        <v>509</v>
      </c>
      <c r="B91" t="s">
        <v>11</v>
      </c>
      <c r="C91" t="s">
        <v>12</v>
      </c>
      <c r="D91" t="s">
        <v>24</v>
      </c>
      <c r="E91" t="s">
        <v>25</v>
      </c>
      <c r="F91" t="s">
        <v>489</v>
      </c>
      <c r="G91" t="s">
        <v>500</v>
      </c>
      <c r="H91"/>
      <c r="I91"/>
      <c r="J91"/>
      <c r="K91" t="s">
        <v>3362</v>
      </c>
      <c r="L91">
        <v>22434</v>
      </c>
      <c r="M91" t="s">
        <v>2522</v>
      </c>
      <c r="Q91" s="13"/>
      <c r="R91" s="1">
        <f>COUNTIFS(E8:E1581,Q91)</f>
        <v>0</v>
      </c>
      <c r="S91" s="13" t="str">
        <v>Acrylic acids and derivatives</v>
      </c>
      <c r="T91" s="14">
        <f>COUNTIFS(F8:F1581,S91)</f>
        <v>1</v>
      </c>
    </row>
    <row r="92" spans="1:20" ht="15" x14ac:dyDescent="0.25">
      <c r="A92" t="s">
        <v>508</v>
      </c>
      <c r="B92" t="s">
        <v>11</v>
      </c>
      <c r="C92" t="s">
        <v>12</v>
      </c>
      <c r="D92" t="s">
        <v>24</v>
      </c>
      <c r="E92" t="s">
        <v>25</v>
      </c>
      <c r="F92" t="s">
        <v>489</v>
      </c>
      <c r="G92" t="s">
        <v>500</v>
      </c>
      <c r="H92"/>
      <c r="I92"/>
      <c r="J92"/>
      <c r="K92" t="s">
        <v>3363</v>
      </c>
      <c r="L92">
        <v>13584</v>
      </c>
      <c r="M92" t="s">
        <v>2523</v>
      </c>
      <c r="Q92" s="13"/>
      <c r="S92" s="13" t="str">
        <v>Branched unsaturated hydrocarbons</v>
      </c>
      <c r="T92" s="14">
        <f>COUNTIFS(F8:F1581,S92)</f>
        <v>10</v>
      </c>
    </row>
    <row r="93" spans="1:20" ht="15" x14ac:dyDescent="0.25">
      <c r="A93" t="s">
        <v>573</v>
      </c>
      <c r="B93" t="s">
        <v>11</v>
      </c>
      <c r="C93" t="s">
        <v>12</v>
      </c>
      <c r="D93" t="s">
        <v>24</v>
      </c>
      <c r="E93" t="s">
        <v>25</v>
      </c>
      <c r="F93" t="s">
        <v>388</v>
      </c>
      <c r="G93" t="s">
        <v>389</v>
      </c>
      <c r="H93"/>
      <c r="I93"/>
      <c r="J93"/>
      <c r="K93" t="s">
        <v>3364</v>
      </c>
      <c r="L93">
        <v>10467</v>
      </c>
      <c r="M93" t="s">
        <v>2524</v>
      </c>
      <c r="Q93" s="15" t="s">
        <v>2360</v>
      </c>
      <c r="R93" s="18">
        <f>SUM(R8:R91)</f>
        <v>1499</v>
      </c>
      <c r="S93" s="13" t="str">
        <v>Enynes</v>
      </c>
      <c r="T93" s="14">
        <f>COUNTIFS(F8:F1581,S93)</f>
        <v>1</v>
      </c>
    </row>
    <row r="94" spans="1:20" ht="15" x14ac:dyDescent="0.25">
      <c r="A94" t="s">
        <v>871</v>
      </c>
      <c r="B94" t="s">
        <v>11</v>
      </c>
      <c r="C94" t="s">
        <v>12</v>
      </c>
      <c r="D94" t="s">
        <v>228</v>
      </c>
      <c r="E94" t="s">
        <v>229</v>
      </c>
      <c r="F94" t="s">
        <v>230</v>
      </c>
      <c r="G94" t="s">
        <v>230</v>
      </c>
      <c r="H94"/>
      <c r="I94"/>
      <c r="J94"/>
      <c r="K94" t="s">
        <v>3365</v>
      </c>
      <c r="L94">
        <v>8222</v>
      </c>
      <c r="M94" t="s">
        <v>2525</v>
      </c>
      <c r="S94" s="13" t="str">
        <v>Carboxylic acid derivatives</v>
      </c>
      <c r="T94" s="14">
        <f>COUNTIFS(F8:F1581,S94)</f>
        <v>10</v>
      </c>
    </row>
    <row r="95" spans="1:20" ht="15" x14ac:dyDescent="0.25">
      <c r="A95" t="s">
        <v>868</v>
      </c>
      <c r="B95" t="s">
        <v>11</v>
      </c>
      <c r="C95" t="s">
        <v>12</v>
      </c>
      <c r="D95" t="s">
        <v>228</v>
      </c>
      <c r="E95" t="s">
        <v>229</v>
      </c>
      <c r="F95" t="s">
        <v>230</v>
      </c>
      <c r="G95" t="s">
        <v>230</v>
      </c>
      <c r="H95"/>
      <c r="I95"/>
      <c r="J95"/>
      <c r="K95" t="s">
        <v>3366</v>
      </c>
      <c r="L95">
        <v>12592</v>
      </c>
      <c r="M95" t="s">
        <v>1086</v>
      </c>
      <c r="S95" s="13" t="str">
        <v>Benzyloxycarbonyls</v>
      </c>
      <c r="T95" s="14">
        <f>COUNTIFS(F8:F1581,S95)</f>
        <v>3</v>
      </c>
    </row>
    <row r="96" spans="1:20" ht="15" x14ac:dyDescent="0.25">
      <c r="A96" t="s">
        <v>872</v>
      </c>
      <c r="B96" t="s">
        <v>11</v>
      </c>
      <c r="C96" t="s">
        <v>12</v>
      </c>
      <c r="D96" t="s">
        <v>228</v>
      </c>
      <c r="E96" t="s">
        <v>229</v>
      </c>
      <c r="F96" t="s">
        <v>230</v>
      </c>
      <c r="G96" t="s">
        <v>230</v>
      </c>
      <c r="H96"/>
      <c r="I96"/>
      <c r="J96"/>
      <c r="K96" t="s">
        <v>3367</v>
      </c>
      <c r="L96">
        <v>12391</v>
      </c>
      <c r="M96" t="s">
        <v>1089</v>
      </c>
      <c r="S96" s="13" t="str">
        <v>Phenylacetic acids</v>
      </c>
      <c r="T96" s="14">
        <f>COUNTIFS(F8:F1581,S96)</f>
        <v>1</v>
      </c>
    </row>
    <row r="97" spans="1:20" ht="15" x14ac:dyDescent="0.25">
      <c r="A97" t="s">
        <v>1179</v>
      </c>
      <c r="B97" t="s">
        <v>11</v>
      </c>
      <c r="C97" t="s">
        <v>12</v>
      </c>
      <c r="D97" t="s">
        <v>24</v>
      </c>
      <c r="E97" t="s">
        <v>25</v>
      </c>
      <c r="F97" t="s">
        <v>489</v>
      </c>
      <c r="G97" t="s">
        <v>500</v>
      </c>
      <c r="H97"/>
      <c r="I97"/>
      <c r="J97"/>
      <c r="K97" t="s">
        <v>3368</v>
      </c>
      <c r="L97">
        <v>41517</v>
      </c>
      <c r="M97" t="s">
        <v>2526</v>
      </c>
      <c r="S97" s="13" t="str">
        <v>Tetracarboxylic acids and derivatives</v>
      </c>
      <c r="T97" s="14">
        <f>COUNTIFS(F8:F1581,S97)</f>
        <v>1</v>
      </c>
    </row>
    <row r="98" spans="1:20" ht="15" x14ac:dyDescent="0.25">
      <c r="A98" t="s">
        <v>866</v>
      </c>
      <c r="B98" t="s">
        <v>11</v>
      </c>
      <c r="C98" t="s">
        <v>12</v>
      </c>
      <c r="D98" t="s">
        <v>228</v>
      </c>
      <c r="E98" t="s">
        <v>229</v>
      </c>
      <c r="F98" t="s">
        <v>230</v>
      </c>
      <c r="G98" t="s">
        <v>230</v>
      </c>
      <c r="H98"/>
      <c r="I98"/>
      <c r="J98"/>
      <c r="K98" t="s">
        <v>3369</v>
      </c>
      <c r="L98">
        <v>12408</v>
      </c>
      <c r="M98" t="s">
        <v>1084</v>
      </c>
      <c r="S98" s="13" t="str">
        <v>Pregnane steroids</v>
      </c>
      <c r="T98" s="14">
        <f>COUNTIFS(F8:F1581,S98)</f>
        <v>1</v>
      </c>
    </row>
    <row r="99" spans="1:20" ht="15" x14ac:dyDescent="0.25">
      <c r="A99" t="s">
        <v>1011</v>
      </c>
      <c r="B99" t="s">
        <v>11</v>
      </c>
      <c r="C99" t="s">
        <v>12</v>
      </c>
      <c r="D99" t="s">
        <v>228</v>
      </c>
      <c r="E99" t="s">
        <v>229</v>
      </c>
      <c r="F99" t="s">
        <v>230</v>
      </c>
      <c r="G99" t="s">
        <v>230</v>
      </c>
      <c r="H99"/>
      <c r="I99"/>
      <c r="J99"/>
      <c r="K99" t="s">
        <v>3370</v>
      </c>
      <c r="L99">
        <v>11636</v>
      </c>
      <c r="M99" t="s">
        <v>1132</v>
      </c>
      <c r="S99" s="13" t="str">
        <v>Triradylcglycerols</v>
      </c>
      <c r="T99" s="14">
        <f>COUNTIFS(F8:F1581,S99)</f>
        <v>2</v>
      </c>
    </row>
    <row r="100" spans="1:20" ht="15" x14ac:dyDescent="0.25">
      <c r="A100" t="s">
        <v>990</v>
      </c>
      <c r="B100" t="s">
        <v>11</v>
      </c>
      <c r="C100" t="s">
        <v>12</v>
      </c>
      <c r="D100" t="s">
        <v>228</v>
      </c>
      <c r="E100" t="s">
        <v>229</v>
      </c>
      <c r="F100" t="s">
        <v>230</v>
      </c>
      <c r="G100" t="s">
        <v>230</v>
      </c>
      <c r="H100"/>
      <c r="I100"/>
      <c r="J100"/>
      <c r="K100" t="s">
        <v>3371</v>
      </c>
      <c r="L100">
        <v>23494</v>
      </c>
      <c r="M100" t="s">
        <v>1122</v>
      </c>
      <c r="S100" s="13" t="str">
        <v>Olefins</v>
      </c>
      <c r="T100" s="14">
        <f>COUNTIFS(F8:F1581,S100)</f>
        <v>5</v>
      </c>
    </row>
    <row r="101" spans="1:20" ht="15" x14ac:dyDescent="0.25">
      <c r="A101" t="s">
        <v>522</v>
      </c>
      <c r="B101" t="s">
        <v>11</v>
      </c>
      <c r="C101" t="s">
        <v>12</v>
      </c>
      <c r="D101" t="s">
        <v>24</v>
      </c>
      <c r="E101" t="s">
        <v>25</v>
      </c>
      <c r="F101" t="s">
        <v>489</v>
      </c>
      <c r="G101" t="s">
        <v>500</v>
      </c>
      <c r="H101"/>
      <c r="I101"/>
      <c r="J101"/>
      <c r="K101" t="s">
        <v>3372</v>
      </c>
      <c r="L101">
        <v>12400</v>
      </c>
      <c r="M101" t="s">
        <v>2527</v>
      </c>
      <c r="S101" s="13" t="str">
        <v>Pyrazines</v>
      </c>
      <c r="T101" s="14">
        <f>COUNTIFS(F8:F1581,S101)</f>
        <v>2</v>
      </c>
    </row>
    <row r="102" spans="1:20" ht="15" x14ac:dyDescent="0.25">
      <c r="A102" t="s">
        <v>985</v>
      </c>
      <c r="B102" t="s">
        <v>11</v>
      </c>
      <c r="C102" t="s">
        <v>12</v>
      </c>
      <c r="D102" t="s">
        <v>24</v>
      </c>
      <c r="E102" t="s">
        <v>54</v>
      </c>
      <c r="F102" t="s">
        <v>986</v>
      </c>
      <c r="G102" t="s">
        <v>986</v>
      </c>
      <c r="H102"/>
      <c r="I102"/>
      <c r="J102"/>
      <c r="K102" t="s">
        <v>3373</v>
      </c>
      <c r="L102">
        <v>638072</v>
      </c>
      <c r="M102" t="s">
        <v>1119</v>
      </c>
      <c r="S102" s="13" t="str">
        <v>Beta-keto acids and derivatives</v>
      </c>
      <c r="T102" s="14">
        <f>COUNTIFS(F8:F1581,S102)</f>
        <v>1</v>
      </c>
    </row>
    <row r="103" spans="1:20" ht="15" x14ac:dyDescent="0.25">
      <c r="A103" t="s">
        <v>1887</v>
      </c>
      <c r="B103" t="s">
        <v>11</v>
      </c>
      <c r="C103" t="s">
        <v>12</v>
      </c>
      <c r="D103" t="s">
        <v>111</v>
      </c>
      <c r="E103" t="s">
        <v>304</v>
      </c>
      <c r="F103" t="s">
        <v>668</v>
      </c>
      <c r="G103" t="s">
        <v>668</v>
      </c>
      <c r="H103"/>
      <c r="I103"/>
      <c r="J103"/>
      <c r="K103" t="s">
        <v>3374</v>
      </c>
      <c r="L103">
        <v>444539</v>
      </c>
      <c r="M103" t="s">
        <v>2109</v>
      </c>
      <c r="S103" s="13" t="str">
        <v>Ethers</v>
      </c>
      <c r="T103" s="14">
        <f>COUNTIFS(F8:F1581,S103)</f>
        <v>1</v>
      </c>
    </row>
    <row r="104" spans="1:20" ht="15" x14ac:dyDescent="0.25">
      <c r="A104" t="s">
        <v>1862</v>
      </c>
      <c r="B104" t="s">
        <v>11</v>
      </c>
      <c r="C104" t="s">
        <v>12</v>
      </c>
      <c r="D104" t="s">
        <v>111</v>
      </c>
      <c r="E104" t="s">
        <v>120</v>
      </c>
      <c r="F104" t="s">
        <v>308</v>
      </c>
      <c r="G104" t="s">
        <v>309</v>
      </c>
      <c r="H104" t="s">
        <v>1614</v>
      </c>
      <c r="I104"/>
      <c r="J104"/>
      <c r="K104" t="s">
        <v>3375</v>
      </c>
      <c r="L104">
        <v>442428</v>
      </c>
      <c r="M104" t="s">
        <v>2098</v>
      </c>
      <c r="S104" s="13" t="str">
        <v>Pyranones and derivatives</v>
      </c>
      <c r="T104" s="14">
        <f>COUNTIFS(F8:F1581,S104)</f>
        <v>2</v>
      </c>
    </row>
    <row r="105" spans="1:20" ht="15" x14ac:dyDescent="0.25">
      <c r="A105" t="s">
        <v>1665</v>
      </c>
      <c r="B105" t="s">
        <v>11</v>
      </c>
      <c r="C105" t="s">
        <v>12</v>
      </c>
      <c r="D105" t="s">
        <v>111</v>
      </c>
      <c r="E105" t="s">
        <v>120</v>
      </c>
      <c r="F105" t="s">
        <v>308</v>
      </c>
      <c r="G105" t="s">
        <v>309</v>
      </c>
      <c r="H105" t="s">
        <v>310</v>
      </c>
      <c r="I105"/>
      <c r="J105"/>
      <c r="K105" t="s">
        <v>3376</v>
      </c>
      <c r="L105">
        <v>5280805</v>
      </c>
      <c r="M105" t="s">
        <v>2030</v>
      </c>
      <c r="S105" s="13" t="str">
        <v>Naphthols and derivatives</v>
      </c>
      <c r="T105" s="14">
        <f>COUNTIFS(F8:F1581,S105)</f>
        <v>1</v>
      </c>
    </row>
    <row r="106" spans="1:20" ht="15" x14ac:dyDescent="0.25">
      <c r="A106" t="s">
        <v>1872</v>
      </c>
      <c r="B106" t="s">
        <v>11</v>
      </c>
      <c r="C106" t="s">
        <v>12</v>
      </c>
      <c r="D106" t="s">
        <v>111</v>
      </c>
      <c r="E106" t="s">
        <v>120</v>
      </c>
      <c r="F106" t="s">
        <v>308</v>
      </c>
      <c r="G106" t="s">
        <v>309</v>
      </c>
      <c r="H106" t="s">
        <v>310</v>
      </c>
      <c r="I106"/>
      <c r="J106"/>
      <c r="K106" t="s">
        <v>3377</v>
      </c>
      <c r="L106">
        <v>5280804</v>
      </c>
      <c r="M106" t="s">
        <v>2528</v>
      </c>
      <c r="S106" s="13" t="str">
        <v>Fatty aldehydes</v>
      </c>
      <c r="T106" s="14">
        <f>COUNTIFS(F8:F1581,S106)</f>
        <v>1</v>
      </c>
    </row>
    <row r="107" spans="1:20" ht="15" x14ac:dyDescent="0.25">
      <c r="A107" t="s">
        <v>1867</v>
      </c>
      <c r="B107" t="s">
        <v>11</v>
      </c>
      <c r="C107" t="s">
        <v>12</v>
      </c>
      <c r="D107" t="s">
        <v>111</v>
      </c>
      <c r="E107" t="s">
        <v>120</v>
      </c>
      <c r="F107" t="s">
        <v>308</v>
      </c>
      <c r="G107" t="s">
        <v>309</v>
      </c>
      <c r="H107" t="s">
        <v>310</v>
      </c>
      <c r="I107"/>
      <c r="J107"/>
      <c r="K107" t="s">
        <v>3378</v>
      </c>
      <c r="L107">
        <v>5280459</v>
      </c>
      <c r="M107" t="s">
        <v>2529</v>
      </c>
      <c r="S107" s="13" t="str">
        <v>Nitrobenzenes</v>
      </c>
      <c r="T107" s="14">
        <f>COUNTIFS(F8:F1581,S107)</f>
        <v>1</v>
      </c>
    </row>
    <row r="108" spans="1:20" ht="15" x14ac:dyDescent="0.25">
      <c r="A108" t="s">
        <v>1661</v>
      </c>
      <c r="B108" t="s">
        <v>11</v>
      </c>
      <c r="C108" t="s">
        <v>12</v>
      </c>
      <c r="D108" t="s">
        <v>111</v>
      </c>
      <c r="E108" t="s">
        <v>120</v>
      </c>
      <c r="F108" t="s">
        <v>121</v>
      </c>
      <c r="G108" t="s">
        <v>122</v>
      </c>
      <c r="H108"/>
      <c r="I108"/>
      <c r="J108"/>
      <c r="K108" t="s">
        <v>3379</v>
      </c>
      <c r="L108">
        <v>439246</v>
      </c>
      <c r="M108" t="s">
        <v>2028</v>
      </c>
      <c r="S108" s="13" t="str">
        <v>Eicosanoids</v>
      </c>
      <c r="T108" s="14">
        <f>COUNTIFS(F8:F1581,S108)</f>
        <v>2</v>
      </c>
    </row>
    <row r="109" spans="1:20" ht="15" x14ac:dyDescent="0.25">
      <c r="A109" t="s">
        <v>1686</v>
      </c>
      <c r="B109" t="s">
        <v>11</v>
      </c>
      <c r="C109" t="s">
        <v>12</v>
      </c>
      <c r="D109" t="s">
        <v>111</v>
      </c>
      <c r="E109" t="s">
        <v>120</v>
      </c>
      <c r="F109" t="s">
        <v>121</v>
      </c>
      <c r="G109" t="s">
        <v>122</v>
      </c>
      <c r="H109"/>
      <c r="I109"/>
      <c r="J109"/>
      <c r="K109" t="s">
        <v>3380</v>
      </c>
      <c r="L109">
        <v>932</v>
      </c>
      <c r="M109" t="s">
        <v>2028</v>
      </c>
      <c r="S109" s="13" t="str">
        <v>Indolyl carboxylic acids and derivatives</v>
      </c>
      <c r="T109" s="14">
        <f>COUNTIFS(F8:F1581,S109)</f>
        <v>2</v>
      </c>
    </row>
    <row r="110" spans="1:20" ht="15" x14ac:dyDescent="0.25">
      <c r="A110" t="s">
        <v>1618</v>
      </c>
      <c r="B110" t="s">
        <v>11</v>
      </c>
      <c r="C110" t="s">
        <v>12</v>
      </c>
      <c r="D110" t="s">
        <v>111</v>
      </c>
      <c r="E110" t="s">
        <v>120</v>
      </c>
      <c r="F110" t="s">
        <v>121</v>
      </c>
      <c r="G110" t="s">
        <v>122</v>
      </c>
      <c r="H110"/>
      <c r="I110"/>
      <c r="J110"/>
      <c r="K110" t="s">
        <v>3381</v>
      </c>
      <c r="L110">
        <v>667495</v>
      </c>
      <c r="M110" t="s">
        <v>2028</v>
      </c>
      <c r="S110" s="13" t="str">
        <v>Bipyridines and oligopyridines</v>
      </c>
      <c r="T110" s="14">
        <f>COUNTIFS(F8:F1581,S110)</f>
        <v>1</v>
      </c>
    </row>
    <row r="111" spans="1:20" ht="15" x14ac:dyDescent="0.25">
      <c r="A111" t="s">
        <v>1636</v>
      </c>
      <c r="B111" t="s">
        <v>11</v>
      </c>
      <c r="C111" t="s">
        <v>12</v>
      </c>
      <c r="D111" t="s">
        <v>111</v>
      </c>
      <c r="E111" t="s">
        <v>120</v>
      </c>
      <c r="F111" t="s">
        <v>1226</v>
      </c>
      <c r="G111" t="s">
        <v>1227</v>
      </c>
      <c r="H111"/>
      <c r="I111"/>
      <c r="J111"/>
      <c r="K111" t="s">
        <v>3382</v>
      </c>
      <c r="L111">
        <v>5281691</v>
      </c>
      <c r="M111" t="s">
        <v>2019</v>
      </c>
      <c r="S111" s="13" t="str">
        <v>Phenylacetaldehydes</v>
      </c>
      <c r="T111" s="14">
        <f>COUNTIFS(F8:F1581,S111)</f>
        <v>1</v>
      </c>
    </row>
    <row r="112" spans="1:20" ht="15" x14ac:dyDescent="0.25">
      <c r="A112" t="s">
        <v>1659</v>
      </c>
      <c r="B112" t="s">
        <v>11</v>
      </c>
      <c r="C112" t="s">
        <v>12</v>
      </c>
      <c r="D112" t="s">
        <v>111</v>
      </c>
      <c r="E112" t="s">
        <v>120</v>
      </c>
      <c r="F112" t="s">
        <v>1226</v>
      </c>
      <c r="G112" t="s">
        <v>1226</v>
      </c>
      <c r="H112"/>
      <c r="I112"/>
      <c r="J112"/>
      <c r="K112" t="s">
        <v>3383</v>
      </c>
      <c r="L112">
        <v>5280443</v>
      </c>
      <c r="M112" t="s">
        <v>2027</v>
      </c>
      <c r="S112" s="13" t="str">
        <v>Furanones</v>
      </c>
      <c r="T112" s="14">
        <f>COUNTIFS(F8:F1581,S112)</f>
        <v>4</v>
      </c>
    </row>
    <row r="113" spans="1:20" ht="15" x14ac:dyDescent="0.25">
      <c r="A113" t="s">
        <v>1623</v>
      </c>
      <c r="B113" t="s">
        <v>11</v>
      </c>
      <c r="C113" t="s">
        <v>12</v>
      </c>
      <c r="D113" t="s">
        <v>111</v>
      </c>
      <c r="E113" t="s">
        <v>120</v>
      </c>
      <c r="F113" t="s">
        <v>1592</v>
      </c>
      <c r="G113" t="s">
        <v>1593</v>
      </c>
      <c r="H113"/>
      <c r="I113"/>
      <c r="J113"/>
      <c r="K113" t="s">
        <v>3384</v>
      </c>
      <c r="L113">
        <v>5280442</v>
      </c>
      <c r="M113" t="s">
        <v>2015</v>
      </c>
      <c r="S113" s="13" t="str">
        <v>Ergostane steroids</v>
      </c>
      <c r="T113" s="14">
        <f>COUNTIFS(F8:F1581,S113)</f>
        <v>1</v>
      </c>
    </row>
    <row r="114" spans="1:20" ht="15" x14ac:dyDescent="0.25">
      <c r="A114" t="s">
        <v>1881</v>
      </c>
      <c r="B114" t="s">
        <v>11</v>
      </c>
      <c r="C114" t="s">
        <v>12</v>
      </c>
      <c r="D114" t="s">
        <v>111</v>
      </c>
      <c r="E114" t="s">
        <v>1071</v>
      </c>
      <c r="F114" t="s">
        <v>1721</v>
      </c>
      <c r="G114" t="s">
        <v>1722</v>
      </c>
      <c r="H114"/>
      <c r="I114"/>
      <c r="J114"/>
      <c r="K114" t="s">
        <v>3385</v>
      </c>
      <c r="L114">
        <v>5280961</v>
      </c>
      <c r="M114" t="s">
        <v>2108</v>
      </c>
      <c r="S114" s="13" t="str">
        <v>Stigmastanes and derivatives</v>
      </c>
      <c r="T114" s="14">
        <f>COUNTIFS(F8:F1581,S114)</f>
        <v>2</v>
      </c>
    </row>
    <row r="115" spans="1:20" ht="15" x14ac:dyDescent="0.25">
      <c r="A115" t="s">
        <v>1802</v>
      </c>
      <c r="B115" t="s">
        <v>11</v>
      </c>
      <c r="C115" t="s">
        <v>12</v>
      </c>
      <c r="D115" t="s">
        <v>111</v>
      </c>
      <c r="E115" t="s">
        <v>304</v>
      </c>
      <c r="F115" t="s">
        <v>305</v>
      </c>
      <c r="G115" t="s">
        <v>306</v>
      </c>
      <c r="H115"/>
      <c r="I115"/>
      <c r="J115"/>
      <c r="K115" t="s">
        <v>3386</v>
      </c>
      <c r="L115">
        <v>736186</v>
      </c>
      <c r="M115" t="s">
        <v>2079</v>
      </c>
      <c r="S115" s="13" t="str">
        <v>Quinone and hydroquinone lipids</v>
      </c>
      <c r="T115" s="14">
        <f>COUNTIFS(F8:F1581,S115)</f>
        <v>8</v>
      </c>
    </row>
    <row r="116" spans="1:20" ht="15" x14ac:dyDescent="0.25">
      <c r="A116" t="s">
        <v>1292</v>
      </c>
      <c r="B116" t="s">
        <v>11</v>
      </c>
      <c r="C116" t="s">
        <v>12</v>
      </c>
      <c r="D116" t="s">
        <v>111</v>
      </c>
      <c r="E116" t="s">
        <v>304</v>
      </c>
      <c r="F116" t="s">
        <v>305</v>
      </c>
      <c r="G116" t="s">
        <v>382</v>
      </c>
      <c r="H116"/>
      <c r="I116"/>
      <c r="J116"/>
      <c r="K116" t="s">
        <v>3387</v>
      </c>
      <c r="L116">
        <v>129844313</v>
      </c>
      <c r="M116" t="s">
        <v>1508</v>
      </c>
      <c r="S116" s="13" t="str">
        <v>Isoflavans</v>
      </c>
      <c r="T116" s="14">
        <f>COUNTIFS(F8:F1581,S116)</f>
        <v>1</v>
      </c>
    </row>
    <row r="117" spans="1:20" ht="15" x14ac:dyDescent="0.25">
      <c r="A117" t="s">
        <v>1587</v>
      </c>
      <c r="B117" t="s">
        <v>11</v>
      </c>
      <c r="C117" t="s">
        <v>12</v>
      </c>
      <c r="D117" t="s">
        <v>111</v>
      </c>
      <c r="E117" t="s">
        <v>304</v>
      </c>
      <c r="F117" t="s">
        <v>305</v>
      </c>
      <c r="G117" t="s">
        <v>382</v>
      </c>
      <c r="H117"/>
      <c r="I117"/>
      <c r="J117"/>
      <c r="K117" t="s">
        <v>3388</v>
      </c>
      <c r="L117">
        <v>7766335</v>
      </c>
      <c r="M117" t="s">
        <v>2003</v>
      </c>
      <c r="S117" s="13" t="str">
        <v>1-benzopyrans</v>
      </c>
      <c r="T117" s="14">
        <f>COUNTIFS(F8:F1581,S117)</f>
        <v>7</v>
      </c>
    </row>
    <row r="118" spans="1:20" ht="15" x14ac:dyDescent="0.25">
      <c r="A118" t="s">
        <v>1888</v>
      </c>
      <c r="B118" t="s">
        <v>11</v>
      </c>
      <c r="C118" t="s">
        <v>12</v>
      </c>
      <c r="D118" t="s">
        <v>111</v>
      </c>
      <c r="E118" t="s">
        <v>304</v>
      </c>
      <c r="F118" t="s">
        <v>305</v>
      </c>
      <c r="G118" t="s">
        <v>411</v>
      </c>
      <c r="H118" t="s">
        <v>412</v>
      </c>
      <c r="I118"/>
      <c r="J118"/>
      <c r="K118" t="s">
        <v>3389</v>
      </c>
      <c r="L118">
        <v>10083644</v>
      </c>
      <c r="M118" t="s">
        <v>783</v>
      </c>
      <c r="S118" s="13" t="str">
        <v>Acetophenones</v>
      </c>
      <c r="T118" s="14">
        <f>COUNTIFS(F8:F1581,S118)</f>
        <v>2</v>
      </c>
    </row>
    <row r="119" spans="1:20" ht="15" x14ac:dyDescent="0.25">
      <c r="A119" t="s">
        <v>1777</v>
      </c>
      <c r="B119" t="s">
        <v>11</v>
      </c>
      <c r="C119" t="s">
        <v>12</v>
      </c>
      <c r="D119" t="s">
        <v>111</v>
      </c>
      <c r="E119" t="s">
        <v>304</v>
      </c>
      <c r="F119" t="s">
        <v>305</v>
      </c>
      <c r="G119" t="s">
        <v>382</v>
      </c>
      <c r="H119"/>
      <c r="I119"/>
      <c r="J119"/>
      <c r="K119" t="s">
        <v>3390</v>
      </c>
      <c r="L119">
        <v>129688353</v>
      </c>
      <c r="M119" t="s">
        <v>2070</v>
      </c>
      <c r="S119" s="13" t="str">
        <v>Tricarboxylic acids and derivatives</v>
      </c>
      <c r="T119" s="14">
        <f>COUNTIFS(F8:F1581,S119)</f>
        <v>2</v>
      </c>
    </row>
    <row r="120" spans="1:20" ht="15" x14ac:dyDescent="0.25">
      <c r="A120" t="s">
        <v>456</v>
      </c>
      <c r="B120" t="s">
        <v>11</v>
      </c>
      <c r="C120" t="s">
        <v>12</v>
      </c>
      <c r="D120" t="s">
        <v>111</v>
      </c>
      <c r="E120" t="s">
        <v>304</v>
      </c>
      <c r="F120" t="s">
        <v>305</v>
      </c>
      <c r="G120" t="s">
        <v>382</v>
      </c>
      <c r="H120"/>
      <c r="I120"/>
      <c r="J120"/>
      <c r="K120" t="s">
        <v>3391</v>
      </c>
      <c r="L120">
        <v>11380911</v>
      </c>
      <c r="M120" t="s">
        <v>797</v>
      </c>
      <c r="S120" s="13" t="str">
        <v>Polyprenols</v>
      </c>
      <c r="T120" s="14">
        <f>COUNTIFS(F8:F1581,S120)</f>
        <v>1</v>
      </c>
    </row>
    <row r="121" spans="1:20" ht="15" x14ac:dyDescent="0.25">
      <c r="A121" t="s">
        <v>1839</v>
      </c>
      <c r="B121" t="s">
        <v>11</v>
      </c>
      <c r="C121" t="s">
        <v>12</v>
      </c>
      <c r="D121" t="s">
        <v>24</v>
      </c>
      <c r="E121" t="s">
        <v>54</v>
      </c>
      <c r="F121" t="s">
        <v>420</v>
      </c>
      <c r="G121" t="s">
        <v>420</v>
      </c>
      <c r="H121"/>
      <c r="I121"/>
      <c r="J121"/>
      <c r="K121" t="s">
        <v>3392</v>
      </c>
      <c r="L121">
        <v>442027</v>
      </c>
      <c r="M121" t="s">
        <v>2090</v>
      </c>
      <c r="S121" s="13" t="str">
        <v>Diphenylmethanes</v>
      </c>
      <c r="T121" s="14">
        <f>COUNTIFS(F8:F1581,S121)</f>
        <v>1</v>
      </c>
    </row>
    <row r="122" spans="1:20" ht="15" x14ac:dyDescent="0.25">
      <c r="A122" t="s">
        <v>719</v>
      </c>
      <c r="B122" t="s">
        <v>11</v>
      </c>
      <c r="C122" t="s">
        <v>12</v>
      </c>
      <c r="D122" t="s">
        <v>24</v>
      </c>
      <c r="E122" t="s">
        <v>54</v>
      </c>
      <c r="F122" t="s">
        <v>420</v>
      </c>
      <c r="G122" t="s">
        <v>420</v>
      </c>
      <c r="H122"/>
      <c r="I122"/>
      <c r="J122"/>
      <c r="K122" t="s">
        <v>3393</v>
      </c>
      <c r="L122">
        <v>637125</v>
      </c>
      <c r="M122" t="s">
        <v>2530</v>
      </c>
      <c r="S122" s="13" t="str">
        <v>Cumenes</v>
      </c>
      <c r="T122" s="14">
        <f>COUNTIFS(F8:F1581,S122)</f>
        <v>3</v>
      </c>
    </row>
    <row r="123" spans="1:20" ht="15" x14ac:dyDescent="0.25">
      <c r="A123" t="s">
        <v>1992</v>
      </c>
      <c r="B123" t="s">
        <v>11</v>
      </c>
      <c r="C123" t="s">
        <v>12</v>
      </c>
      <c r="D123" t="s">
        <v>24</v>
      </c>
      <c r="E123" t="s">
        <v>54</v>
      </c>
      <c r="F123" t="s">
        <v>420</v>
      </c>
      <c r="G123" t="s">
        <v>420</v>
      </c>
      <c r="H123"/>
      <c r="I123"/>
      <c r="J123"/>
      <c r="K123" t="s">
        <v>3394</v>
      </c>
      <c r="L123">
        <v>121225492</v>
      </c>
      <c r="M123" t="s">
        <v>2530</v>
      </c>
      <c r="S123" s="13" t="str">
        <v>Aminotriazines</v>
      </c>
      <c r="T123" s="14">
        <f>COUNTIFS(F8:F1581,S123)</f>
        <v>1</v>
      </c>
    </row>
    <row r="124" spans="1:20" ht="15" x14ac:dyDescent="0.25">
      <c r="A124" t="s">
        <v>717</v>
      </c>
      <c r="B124" t="s">
        <v>11</v>
      </c>
      <c r="C124" t="s">
        <v>12</v>
      </c>
      <c r="D124" t="s">
        <v>24</v>
      </c>
      <c r="E124" t="s">
        <v>54</v>
      </c>
      <c r="F124" t="s">
        <v>420</v>
      </c>
      <c r="G124" t="s">
        <v>420</v>
      </c>
      <c r="H124"/>
      <c r="I124"/>
      <c r="J124"/>
      <c r="K124" t="s">
        <v>3395</v>
      </c>
      <c r="L124">
        <v>12303809</v>
      </c>
      <c r="M124" t="s">
        <v>2530</v>
      </c>
      <c r="S124" s="13" t="str">
        <v>Benzyl cyanides</v>
      </c>
      <c r="T124" s="14">
        <f>COUNTIFS(F8:F1581,S124)</f>
        <v>1</v>
      </c>
    </row>
    <row r="125" spans="1:20" ht="15" x14ac:dyDescent="0.25">
      <c r="A125" t="s">
        <v>2361</v>
      </c>
      <c r="B125" t="s">
        <v>11</v>
      </c>
      <c r="C125" t="s">
        <v>12</v>
      </c>
      <c r="D125" t="s">
        <v>24</v>
      </c>
      <c r="E125" t="s">
        <v>54</v>
      </c>
      <c r="F125" t="s">
        <v>420</v>
      </c>
      <c r="G125" t="s">
        <v>420</v>
      </c>
      <c r="H125"/>
      <c r="I125"/>
      <c r="J125"/>
      <c r="K125" t="s">
        <v>3396</v>
      </c>
      <c r="L125">
        <v>72957164</v>
      </c>
      <c r="M125" t="s">
        <v>2530</v>
      </c>
      <c r="S125" s="13" t="str">
        <v>Phenethylamines</v>
      </c>
      <c r="T125" s="14">
        <f>COUNTIFS(F8:F1581,S125)</f>
        <v>1</v>
      </c>
    </row>
    <row r="126" spans="1:20" ht="15" x14ac:dyDescent="0.25">
      <c r="A126" t="s">
        <v>1990</v>
      </c>
      <c r="B126" t="s">
        <v>11</v>
      </c>
      <c r="C126" t="s">
        <v>12</v>
      </c>
      <c r="D126" t="s">
        <v>24</v>
      </c>
      <c r="E126" t="s">
        <v>54</v>
      </c>
      <c r="F126" t="s">
        <v>420</v>
      </c>
      <c r="G126" t="s">
        <v>420</v>
      </c>
      <c r="H126"/>
      <c r="I126"/>
      <c r="J126"/>
      <c r="K126" t="s">
        <v>3397</v>
      </c>
      <c r="L126">
        <v>146158452</v>
      </c>
      <c r="M126" t="s">
        <v>2530</v>
      </c>
      <c r="S126" s="13" t="str">
        <v>Terpene lactones</v>
      </c>
      <c r="T126" s="14">
        <f>COUNTIFS(F8:F1581,S126)</f>
        <v>1</v>
      </c>
    </row>
    <row r="127" spans="1:20" ht="15" x14ac:dyDescent="0.25">
      <c r="A127" t="s">
        <v>1991</v>
      </c>
      <c r="B127" t="s">
        <v>11</v>
      </c>
      <c r="C127" t="s">
        <v>12</v>
      </c>
      <c r="D127" t="s">
        <v>24</v>
      </c>
      <c r="E127" t="s">
        <v>54</v>
      </c>
      <c r="F127" t="s">
        <v>420</v>
      </c>
      <c r="G127" t="s">
        <v>420</v>
      </c>
      <c r="H127"/>
      <c r="I127"/>
      <c r="J127"/>
      <c r="K127" t="s">
        <v>3398</v>
      </c>
      <c r="L127">
        <v>129316919</v>
      </c>
      <c r="M127" t="s">
        <v>2530</v>
      </c>
      <c r="S127" s="13" t="str">
        <v>Nitroquinolines and derivatives</v>
      </c>
      <c r="T127" s="14">
        <f>COUNTIFS(F8:F1581,S127)</f>
        <v>1</v>
      </c>
    </row>
    <row r="128" spans="1:20" ht="15" x14ac:dyDescent="0.25">
      <c r="A128" t="s">
        <v>718</v>
      </c>
      <c r="B128" t="s">
        <v>11</v>
      </c>
      <c r="C128" t="s">
        <v>12</v>
      </c>
      <c r="D128" t="s">
        <v>24</v>
      </c>
      <c r="E128" t="s">
        <v>54</v>
      </c>
      <c r="F128" t="s">
        <v>420</v>
      </c>
      <c r="G128" t="s">
        <v>420</v>
      </c>
      <c r="H128"/>
      <c r="I128"/>
      <c r="J128"/>
      <c r="K128" t="s">
        <v>3399</v>
      </c>
      <c r="L128">
        <v>92043382</v>
      </c>
      <c r="M128" t="s">
        <v>2530</v>
      </c>
      <c r="S128" s="13" t="str">
        <v>4-alkoxyphenols</v>
      </c>
      <c r="T128" s="14">
        <f>COUNTIFS(F8:F1581,S128)</f>
        <v>1</v>
      </c>
    </row>
    <row r="129" spans="1:20" ht="15" x14ac:dyDescent="0.25">
      <c r="A129" t="s">
        <v>445</v>
      </c>
      <c r="B129" t="s">
        <v>11</v>
      </c>
      <c r="C129" t="s">
        <v>12</v>
      </c>
      <c r="D129" t="s">
        <v>24</v>
      </c>
      <c r="E129" t="s">
        <v>54</v>
      </c>
      <c r="F129" t="s">
        <v>420</v>
      </c>
      <c r="G129" t="s">
        <v>420</v>
      </c>
      <c r="H129"/>
      <c r="I129"/>
      <c r="J129"/>
      <c r="K129" t="s">
        <v>3400</v>
      </c>
      <c r="L129">
        <v>6438138</v>
      </c>
      <c r="M129" t="s">
        <v>791</v>
      </c>
      <c r="S129" s="13" t="str">
        <v>2-benzopyrans</v>
      </c>
      <c r="T129" s="14">
        <f>COUNTIFS(F8:F1581,S129)</f>
        <v>1</v>
      </c>
    </row>
    <row r="130" spans="1:20" ht="15" x14ac:dyDescent="0.25">
      <c r="A130" t="s">
        <v>1999</v>
      </c>
      <c r="B130" t="s">
        <v>11</v>
      </c>
      <c r="C130" t="s">
        <v>12</v>
      </c>
      <c r="D130" t="s">
        <v>24</v>
      </c>
      <c r="E130" t="s">
        <v>54</v>
      </c>
      <c r="F130" t="s">
        <v>420</v>
      </c>
      <c r="G130" t="s">
        <v>420</v>
      </c>
      <c r="H130"/>
      <c r="I130"/>
      <c r="J130"/>
      <c r="K130" t="s">
        <v>3401</v>
      </c>
      <c r="L130">
        <v>38347252</v>
      </c>
      <c r="M130" t="s">
        <v>2141</v>
      </c>
      <c r="S130" s="13" t="str">
        <v>Other non-metal sulfides</v>
      </c>
      <c r="T130" s="14">
        <f>COUNTIFS(F8:F1581,S130)</f>
        <v>1</v>
      </c>
    </row>
    <row r="131" spans="1:20" ht="15" x14ac:dyDescent="0.25">
      <c r="A131" t="s">
        <v>1697</v>
      </c>
      <c r="B131" t="s">
        <v>11</v>
      </c>
      <c r="C131" t="s">
        <v>12</v>
      </c>
      <c r="D131" t="s">
        <v>29</v>
      </c>
      <c r="E131" t="s">
        <v>30</v>
      </c>
      <c r="F131" t="s">
        <v>31</v>
      </c>
      <c r="G131" t="s">
        <v>90</v>
      </c>
      <c r="H131" t="s">
        <v>1351</v>
      </c>
      <c r="I131"/>
      <c r="J131"/>
      <c r="K131" t="s">
        <v>3402</v>
      </c>
      <c r="L131">
        <v>892</v>
      </c>
      <c r="M131" t="s">
        <v>2044</v>
      </c>
      <c r="S131" s="13" t="str">
        <v>Benzenesulfonamides</v>
      </c>
      <c r="T131" s="14">
        <f>COUNTIFS(F8:F1581,S131)</f>
        <v>1</v>
      </c>
    </row>
    <row r="132" spans="1:20" ht="15" x14ac:dyDescent="0.25">
      <c r="A132" t="s">
        <v>1253</v>
      </c>
      <c r="B132" t="s">
        <v>11</v>
      </c>
      <c r="C132"/>
      <c r="D132"/>
      <c r="E132"/>
      <c r="F132"/>
      <c r="G132"/>
      <c r="H132"/>
      <c r="I132"/>
      <c r="J132"/>
      <c r="K132" t="s">
        <v>3403</v>
      </c>
      <c r="L132">
        <v>129849938</v>
      </c>
      <c r="M132" t="s">
        <v>1252</v>
      </c>
      <c r="S132" s="13" t="str">
        <v>Neoflavones</v>
      </c>
      <c r="T132" s="14">
        <f>COUNTIFS(F8:F1581,S132)</f>
        <v>1</v>
      </c>
    </row>
    <row r="133" spans="1:20" ht="15" x14ac:dyDescent="0.25">
      <c r="A133" t="s">
        <v>1684</v>
      </c>
      <c r="B133" t="s">
        <v>11</v>
      </c>
      <c r="C133" t="s">
        <v>12</v>
      </c>
      <c r="D133" t="s">
        <v>111</v>
      </c>
      <c r="E133" t="s">
        <v>120</v>
      </c>
      <c r="F133" t="s">
        <v>1592</v>
      </c>
      <c r="G133" t="s">
        <v>1598</v>
      </c>
      <c r="H133"/>
      <c r="I133"/>
      <c r="J133"/>
      <c r="K133" t="s">
        <v>3404</v>
      </c>
      <c r="L133">
        <v>1268276</v>
      </c>
      <c r="M133" t="s">
        <v>2531</v>
      </c>
      <c r="S133" s="13" t="str">
        <v>Homoisoflavones</v>
      </c>
      <c r="T133" s="14">
        <f>COUNTIFS(F8:F1581,S133)</f>
        <v>1</v>
      </c>
    </row>
    <row r="134" spans="1:20" ht="15" x14ac:dyDescent="0.25">
      <c r="A134" t="s">
        <v>2362</v>
      </c>
      <c r="B134" t="s">
        <v>11</v>
      </c>
      <c r="C134" t="s">
        <v>12</v>
      </c>
      <c r="D134" t="s">
        <v>111</v>
      </c>
      <c r="E134" t="s">
        <v>120</v>
      </c>
      <c r="F134" t="s">
        <v>1592</v>
      </c>
      <c r="G134" t="s">
        <v>1593</v>
      </c>
      <c r="H134"/>
      <c r="I134"/>
      <c r="J134"/>
      <c r="K134" t="s">
        <v>3405</v>
      </c>
      <c r="L134">
        <v>21721857</v>
      </c>
      <c r="M134" t="s">
        <v>2005</v>
      </c>
      <c r="S134" s="13" t="str">
        <v>Isoflavonoid O-glycosides</v>
      </c>
      <c r="T134" s="14">
        <f>COUNTIFS(F8:F1581,S134)</f>
        <v>1</v>
      </c>
    </row>
    <row r="135" spans="1:20" ht="15" x14ac:dyDescent="0.25">
      <c r="A135" t="s">
        <v>444</v>
      </c>
      <c r="B135" t="s">
        <v>11</v>
      </c>
      <c r="C135" t="s">
        <v>12</v>
      </c>
      <c r="D135" t="s">
        <v>13</v>
      </c>
      <c r="E135" t="s">
        <v>14</v>
      </c>
      <c r="F135" t="s">
        <v>380</v>
      </c>
      <c r="G135" t="s">
        <v>380</v>
      </c>
      <c r="H135"/>
      <c r="I135"/>
      <c r="J135"/>
      <c r="K135" t="s">
        <v>3406</v>
      </c>
      <c r="L135">
        <v>867</v>
      </c>
      <c r="M135" t="s">
        <v>2532</v>
      </c>
      <c r="S135" s="13" t="str">
        <v>Nitrophenols</v>
      </c>
      <c r="T135" s="14">
        <f>COUNTIFS(F8:F1581,S135)</f>
        <v>1</v>
      </c>
    </row>
    <row r="136" spans="1:20" ht="15" x14ac:dyDescent="0.25">
      <c r="A136" t="s">
        <v>418</v>
      </c>
      <c r="B136" t="s">
        <v>11</v>
      </c>
      <c r="C136" t="s">
        <v>12</v>
      </c>
      <c r="D136" t="s">
        <v>13</v>
      </c>
      <c r="E136" t="s">
        <v>14</v>
      </c>
      <c r="F136" t="s">
        <v>380</v>
      </c>
      <c r="G136" t="s">
        <v>380</v>
      </c>
      <c r="H136"/>
      <c r="I136"/>
      <c r="J136"/>
      <c r="K136" t="s">
        <v>3407</v>
      </c>
      <c r="L136">
        <v>8088</v>
      </c>
      <c r="M136" t="s">
        <v>785</v>
      </c>
      <c r="S136" s="13"/>
      <c r="T136" s="14"/>
    </row>
    <row r="137" spans="1:20" ht="15" x14ac:dyDescent="0.25">
      <c r="A137" t="s">
        <v>563</v>
      </c>
      <c r="B137" t="s">
        <v>11</v>
      </c>
      <c r="C137" t="s">
        <v>12</v>
      </c>
      <c r="D137" t="s">
        <v>24</v>
      </c>
      <c r="E137" t="s">
        <v>25</v>
      </c>
      <c r="F137" t="s">
        <v>388</v>
      </c>
      <c r="G137" t="s">
        <v>389</v>
      </c>
      <c r="H137"/>
      <c r="I137"/>
      <c r="J137"/>
      <c r="K137" t="s">
        <v>3408</v>
      </c>
      <c r="L137">
        <v>5282742</v>
      </c>
      <c r="M137" t="s">
        <v>2533</v>
      </c>
      <c r="S137" s="15" t="s">
        <v>2360</v>
      </c>
      <c r="T137" s="16">
        <f>SUM(T8:T135)</f>
        <v>1478</v>
      </c>
    </row>
    <row r="138" spans="1:20" ht="15" x14ac:dyDescent="0.25">
      <c r="A138" t="s">
        <v>505</v>
      </c>
      <c r="B138" t="s">
        <v>11</v>
      </c>
      <c r="C138" t="s">
        <v>12</v>
      </c>
      <c r="D138" t="s">
        <v>24</v>
      </c>
      <c r="E138" t="s">
        <v>25</v>
      </c>
      <c r="F138" t="s">
        <v>489</v>
      </c>
      <c r="G138" t="s">
        <v>500</v>
      </c>
      <c r="H138"/>
      <c r="I138"/>
      <c r="J138"/>
      <c r="K138" t="s">
        <v>3409</v>
      </c>
      <c r="L138">
        <v>25642</v>
      </c>
      <c r="M138" t="s">
        <v>805</v>
      </c>
    </row>
    <row r="139" spans="1:20" ht="15" x14ac:dyDescent="0.25">
      <c r="A139" t="s">
        <v>2363</v>
      </c>
      <c r="B139" t="s">
        <v>11</v>
      </c>
      <c r="C139" t="s">
        <v>12</v>
      </c>
      <c r="D139" t="s">
        <v>36</v>
      </c>
      <c r="E139" t="s">
        <v>37</v>
      </c>
      <c r="F139" t="s">
        <v>38</v>
      </c>
      <c r="G139" t="s">
        <v>38</v>
      </c>
      <c r="H139"/>
      <c r="I139"/>
      <c r="J139"/>
      <c r="K139" t="s">
        <v>3410</v>
      </c>
      <c r="L139">
        <v>10805</v>
      </c>
      <c r="M139" t="s">
        <v>2534</v>
      </c>
    </row>
    <row r="140" spans="1:20" ht="15" x14ac:dyDescent="0.25">
      <c r="A140" t="s">
        <v>1016</v>
      </c>
      <c r="B140" t="s">
        <v>11</v>
      </c>
      <c r="C140" t="s">
        <v>12</v>
      </c>
      <c r="D140" t="s">
        <v>36</v>
      </c>
      <c r="E140" t="s">
        <v>1017</v>
      </c>
      <c r="F140" t="s">
        <v>1018</v>
      </c>
      <c r="G140" t="s">
        <v>1018</v>
      </c>
      <c r="H140"/>
      <c r="I140"/>
      <c r="J140"/>
      <c r="K140" t="s">
        <v>3411</v>
      </c>
      <c r="L140">
        <v>139182819</v>
      </c>
      <c r="M140" t="s">
        <v>2535</v>
      </c>
    </row>
    <row r="141" spans="1:20" ht="15" x14ac:dyDescent="0.25">
      <c r="A141" t="s">
        <v>395</v>
      </c>
      <c r="B141" t="s">
        <v>11</v>
      </c>
      <c r="C141" t="s">
        <v>12</v>
      </c>
      <c r="D141" t="s">
        <v>36</v>
      </c>
      <c r="E141" t="s">
        <v>37</v>
      </c>
      <c r="F141" t="s">
        <v>396</v>
      </c>
      <c r="G141" t="s">
        <v>396</v>
      </c>
      <c r="H141"/>
      <c r="I141"/>
      <c r="J141"/>
      <c r="K141" t="s">
        <v>3412</v>
      </c>
      <c r="L141">
        <v>86957</v>
      </c>
      <c r="M141" t="s">
        <v>2536</v>
      </c>
    </row>
    <row r="142" spans="1:20" ht="15" x14ac:dyDescent="0.25">
      <c r="A142" t="s">
        <v>1649</v>
      </c>
      <c r="B142" t="s">
        <v>11</v>
      </c>
      <c r="C142" t="s">
        <v>12</v>
      </c>
      <c r="D142" t="s">
        <v>111</v>
      </c>
      <c r="E142" t="s">
        <v>437</v>
      </c>
      <c r="F142"/>
      <c r="G142" t="s">
        <v>437</v>
      </c>
      <c r="H142"/>
      <c r="I142"/>
      <c r="J142"/>
      <c r="K142" t="s">
        <v>3413</v>
      </c>
      <c r="L142">
        <v>75019</v>
      </c>
      <c r="M142" t="s">
        <v>2537</v>
      </c>
    </row>
    <row r="143" spans="1:20" ht="15" x14ac:dyDescent="0.25">
      <c r="A143" t="s">
        <v>1763</v>
      </c>
      <c r="B143" t="s">
        <v>11</v>
      </c>
      <c r="C143" t="s">
        <v>12</v>
      </c>
      <c r="D143" t="s">
        <v>111</v>
      </c>
      <c r="E143" t="s">
        <v>1071</v>
      </c>
      <c r="F143" t="s">
        <v>1701</v>
      </c>
      <c r="G143" t="s">
        <v>1702</v>
      </c>
      <c r="H143"/>
      <c r="I143"/>
      <c r="J143"/>
      <c r="K143" t="s">
        <v>3414</v>
      </c>
      <c r="L143">
        <v>14077830</v>
      </c>
      <c r="M143" t="s">
        <v>2538</v>
      </c>
    </row>
    <row r="144" spans="1:20" ht="15" x14ac:dyDescent="0.25">
      <c r="A144" t="s">
        <v>1761</v>
      </c>
      <c r="B144" t="s">
        <v>11</v>
      </c>
      <c r="C144" t="s">
        <v>12</v>
      </c>
      <c r="D144" t="s">
        <v>111</v>
      </c>
      <c r="E144" t="s">
        <v>1071</v>
      </c>
      <c r="F144" t="s">
        <v>1701</v>
      </c>
      <c r="G144" t="s">
        <v>1702</v>
      </c>
      <c r="H144"/>
      <c r="I144"/>
      <c r="J144"/>
      <c r="K144" t="s">
        <v>3415</v>
      </c>
      <c r="L144">
        <v>5319733</v>
      </c>
      <c r="M144" t="s">
        <v>2538</v>
      </c>
    </row>
    <row r="145" spans="1:13" ht="15" x14ac:dyDescent="0.25">
      <c r="A145" t="s">
        <v>1762</v>
      </c>
      <c r="B145" t="s">
        <v>11</v>
      </c>
      <c r="C145" t="s">
        <v>12</v>
      </c>
      <c r="D145" t="s">
        <v>111</v>
      </c>
      <c r="E145" t="s">
        <v>1071</v>
      </c>
      <c r="F145" t="s">
        <v>1701</v>
      </c>
      <c r="G145" t="s">
        <v>1702</v>
      </c>
      <c r="H145"/>
      <c r="I145"/>
      <c r="J145"/>
      <c r="K145" t="s">
        <v>3416</v>
      </c>
      <c r="L145">
        <v>44257448</v>
      </c>
      <c r="M145" t="s">
        <v>2539</v>
      </c>
    </row>
    <row r="146" spans="1:13" ht="15" x14ac:dyDescent="0.25">
      <c r="A146" t="s">
        <v>2364</v>
      </c>
      <c r="B146" t="s">
        <v>11</v>
      </c>
      <c r="C146" t="s">
        <v>12</v>
      </c>
      <c r="D146" t="s">
        <v>111</v>
      </c>
      <c r="E146" t="s">
        <v>1071</v>
      </c>
      <c r="F146" t="s">
        <v>1701</v>
      </c>
      <c r="G146" t="s">
        <v>1702</v>
      </c>
      <c r="H146"/>
      <c r="I146"/>
      <c r="J146"/>
      <c r="K146" t="s">
        <v>3417</v>
      </c>
      <c r="L146">
        <v>44446857</v>
      </c>
      <c r="M146" t="s">
        <v>2539</v>
      </c>
    </row>
    <row r="147" spans="1:13" ht="15" x14ac:dyDescent="0.25">
      <c r="A147" t="s">
        <v>1739</v>
      </c>
      <c r="B147" t="s">
        <v>11</v>
      </c>
      <c r="C147" t="s">
        <v>12</v>
      </c>
      <c r="D147" t="s">
        <v>111</v>
      </c>
      <c r="E147" t="s">
        <v>1024</v>
      </c>
      <c r="F147" t="s">
        <v>1740</v>
      </c>
      <c r="G147" t="s">
        <v>1740</v>
      </c>
      <c r="H147"/>
      <c r="I147"/>
      <c r="J147"/>
      <c r="K147" t="s">
        <v>3418</v>
      </c>
      <c r="L147">
        <v>5315503</v>
      </c>
      <c r="M147" t="s">
        <v>2540</v>
      </c>
    </row>
    <row r="148" spans="1:13" ht="15" x14ac:dyDescent="0.25">
      <c r="A148" t="s">
        <v>1925</v>
      </c>
      <c r="B148" t="s">
        <v>11</v>
      </c>
      <c r="C148" t="s">
        <v>12</v>
      </c>
      <c r="D148" t="s">
        <v>24</v>
      </c>
      <c r="E148" t="s">
        <v>94</v>
      </c>
      <c r="F148" t="s">
        <v>1199</v>
      </c>
      <c r="G148" t="s">
        <v>1199</v>
      </c>
      <c r="H148"/>
      <c r="I148"/>
      <c r="J148"/>
      <c r="K148" t="s">
        <v>3419</v>
      </c>
      <c r="L148">
        <v>12760132</v>
      </c>
      <c r="M148" t="s">
        <v>2117</v>
      </c>
    </row>
    <row r="149" spans="1:13" ht="15" x14ac:dyDescent="0.25">
      <c r="A149" t="s">
        <v>2277</v>
      </c>
      <c r="B149" t="s">
        <v>11</v>
      </c>
      <c r="C149" t="s">
        <v>12</v>
      </c>
      <c r="D149" t="s">
        <v>24</v>
      </c>
      <c r="E149" t="s">
        <v>94</v>
      </c>
      <c r="F149" t="s">
        <v>1199</v>
      </c>
      <c r="G149" t="s">
        <v>1199</v>
      </c>
      <c r="H149"/>
      <c r="I149"/>
      <c r="J149"/>
      <c r="K149" t="s">
        <v>3420</v>
      </c>
      <c r="L149">
        <v>45270099</v>
      </c>
      <c r="M149" t="s">
        <v>2344</v>
      </c>
    </row>
    <row r="150" spans="1:13" ht="15" x14ac:dyDescent="0.25">
      <c r="A150" t="s">
        <v>2275</v>
      </c>
      <c r="B150" t="s">
        <v>11</v>
      </c>
      <c r="C150" t="s">
        <v>12</v>
      </c>
      <c r="D150" t="s">
        <v>24</v>
      </c>
      <c r="E150" t="s">
        <v>94</v>
      </c>
      <c r="F150" t="s">
        <v>1199</v>
      </c>
      <c r="G150" t="s">
        <v>1199</v>
      </c>
      <c r="H150"/>
      <c r="I150"/>
      <c r="J150"/>
      <c r="K150" t="s">
        <v>3421</v>
      </c>
      <c r="L150">
        <v>14034474</v>
      </c>
      <c r="M150" t="s">
        <v>2342</v>
      </c>
    </row>
    <row r="151" spans="1:13" ht="15" x14ac:dyDescent="0.25">
      <c r="A151" t="s">
        <v>2273</v>
      </c>
      <c r="B151" t="s">
        <v>11</v>
      </c>
      <c r="C151" t="s">
        <v>12</v>
      </c>
      <c r="D151" t="s">
        <v>24</v>
      </c>
      <c r="E151" t="s">
        <v>94</v>
      </c>
      <c r="F151" t="s">
        <v>1199</v>
      </c>
      <c r="G151" t="s">
        <v>1199</v>
      </c>
      <c r="H151"/>
      <c r="I151"/>
      <c r="J151"/>
      <c r="K151" t="s">
        <v>3422</v>
      </c>
      <c r="L151">
        <v>45270932</v>
      </c>
      <c r="M151" t="s">
        <v>2341</v>
      </c>
    </row>
    <row r="152" spans="1:13" ht="15" x14ac:dyDescent="0.25">
      <c r="A152" t="s">
        <v>1997</v>
      </c>
      <c r="B152" t="s">
        <v>11</v>
      </c>
      <c r="C152" t="s">
        <v>12</v>
      </c>
      <c r="D152" t="s">
        <v>24</v>
      </c>
      <c r="E152" t="s">
        <v>54</v>
      </c>
      <c r="F152" t="s">
        <v>420</v>
      </c>
      <c r="G152" t="s">
        <v>420</v>
      </c>
      <c r="H152"/>
      <c r="I152"/>
      <c r="J152"/>
      <c r="K152" t="s">
        <v>3423</v>
      </c>
      <c r="L152">
        <v>15558517</v>
      </c>
      <c r="M152" t="s">
        <v>2139</v>
      </c>
    </row>
    <row r="153" spans="1:13" ht="15" x14ac:dyDescent="0.25">
      <c r="A153" t="s">
        <v>1996</v>
      </c>
      <c r="B153" t="s">
        <v>11</v>
      </c>
      <c r="C153" t="s">
        <v>12</v>
      </c>
      <c r="D153" t="s">
        <v>24</v>
      </c>
      <c r="E153" t="s">
        <v>54</v>
      </c>
      <c r="F153" t="s">
        <v>420</v>
      </c>
      <c r="G153" t="s">
        <v>420</v>
      </c>
      <c r="H153"/>
      <c r="I153"/>
      <c r="J153"/>
      <c r="K153" t="s">
        <v>3424</v>
      </c>
      <c r="L153">
        <v>5316778</v>
      </c>
      <c r="M153" t="s">
        <v>2139</v>
      </c>
    </row>
    <row r="154" spans="1:13" ht="15" x14ac:dyDescent="0.25">
      <c r="A154" t="s">
        <v>1500</v>
      </c>
      <c r="B154" t="s">
        <v>11</v>
      </c>
      <c r="C154" t="s">
        <v>12</v>
      </c>
      <c r="D154" t="s">
        <v>111</v>
      </c>
      <c r="E154" t="s">
        <v>304</v>
      </c>
      <c r="F154" t="s">
        <v>305</v>
      </c>
      <c r="G154" t="s">
        <v>411</v>
      </c>
      <c r="H154" t="s">
        <v>412</v>
      </c>
      <c r="I154"/>
      <c r="J154"/>
      <c r="K154" t="s">
        <v>3425</v>
      </c>
      <c r="L154">
        <v>5319562</v>
      </c>
      <c r="M154" t="s">
        <v>2541</v>
      </c>
    </row>
    <row r="155" spans="1:13" ht="15" x14ac:dyDescent="0.25">
      <c r="A155" t="s">
        <v>1767</v>
      </c>
      <c r="B155" t="s">
        <v>11</v>
      </c>
      <c r="C155" t="s">
        <v>12</v>
      </c>
      <c r="D155" t="s">
        <v>29</v>
      </c>
      <c r="E155" t="s">
        <v>30</v>
      </c>
      <c r="F155" t="s">
        <v>31</v>
      </c>
      <c r="G155" t="s">
        <v>399</v>
      </c>
      <c r="H155" t="s">
        <v>400</v>
      </c>
      <c r="I155" t="s">
        <v>401</v>
      </c>
      <c r="J155"/>
      <c r="K155" t="s">
        <v>3426</v>
      </c>
      <c r="L155">
        <v>1794427</v>
      </c>
      <c r="M155" t="s">
        <v>2065</v>
      </c>
    </row>
    <row r="156" spans="1:13" ht="15" x14ac:dyDescent="0.25">
      <c r="A156" t="s">
        <v>1493</v>
      </c>
      <c r="B156" t="s">
        <v>11</v>
      </c>
      <c r="C156" t="s">
        <v>12</v>
      </c>
      <c r="D156" t="s">
        <v>111</v>
      </c>
      <c r="E156" t="s">
        <v>120</v>
      </c>
      <c r="F156" t="s">
        <v>121</v>
      </c>
      <c r="G156" t="s">
        <v>1494</v>
      </c>
      <c r="H156" t="s">
        <v>1495</v>
      </c>
      <c r="I156"/>
      <c r="J156"/>
      <c r="K156" t="s">
        <v>3427</v>
      </c>
      <c r="L156">
        <v>9064</v>
      </c>
      <c r="M156" t="s">
        <v>2542</v>
      </c>
    </row>
    <row r="157" spans="1:13" ht="15" x14ac:dyDescent="0.25">
      <c r="A157" t="s">
        <v>1609</v>
      </c>
      <c r="B157" t="s">
        <v>11</v>
      </c>
      <c r="C157" t="s">
        <v>12</v>
      </c>
      <c r="D157" t="s">
        <v>111</v>
      </c>
      <c r="E157" t="s">
        <v>120</v>
      </c>
      <c r="F157" t="s">
        <v>1592</v>
      </c>
      <c r="G157" t="s">
        <v>1593</v>
      </c>
      <c r="H157"/>
      <c r="I157"/>
      <c r="J157"/>
      <c r="K157" t="s">
        <v>3428</v>
      </c>
      <c r="L157">
        <v>72281</v>
      </c>
      <c r="M157" t="s">
        <v>2008</v>
      </c>
    </row>
    <row r="158" spans="1:13" ht="15" x14ac:dyDescent="0.25">
      <c r="A158" t="s">
        <v>2148</v>
      </c>
      <c r="B158" t="s">
        <v>11</v>
      </c>
      <c r="C158" t="s">
        <v>12</v>
      </c>
      <c r="D158" t="s">
        <v>24</v>
      </c>
      <c r="E158" t="s">
        <v>54</v>
      </c>
      <c r="F158" t="s">
        <v>420</v>
      </c>
      <c r="G158" t="s">
        <v>420</v>
      </c>
      <c r="H158"/>
      <c r="I158"/>
      <c r="J158"/>
      <c r="K158" t="s">
        <v>3429</v>
      </c>
      <c r="L158">
        <v>220338</v>
      </c>
      <c r="M158" t="s">
        <v>2298</v>
      </c>
    </row>
    <row r="159" spans="1:13" ht="15" x14ac:dyDescent="0.25">
      <c r="A159" t="s">
        <v>2163</v>
      </c>
      <c r="B159" t="s">
        <v>11</v>
      </c>
      <c r="C159" t="s">
        <v>12</v>
      </c>
      <c r="D159" t="s">
        <v>24</v>
      </c>
      <c r="E159" t="s">
        <v>54</v>
      </c>
      <c r="F159" t="s">
        <v>55</v>
      </c>
      <c r="G159" t="s">
        <v>187</v>
      </c>
      <c r="H159"/>
      <c r="I159"/>
      <c r="J159"/>
      <c r="K159" t="s">
        <v>3430</v>
      </c>
      <c r="L159">
        <v>6989</v>
      </c>
      <c r="M159" t="s">
        <v>2304</v>
      </c>
    </row>
    <row r="160" spans="1:13" ht="15" x14ac:dyDescent="0.25">
      <c r="A160" t="s">
        <v>381</v>
      </c>
      <c r="B160" t="s">
        <v>11</v>
      </c>
      <c r="C160" t="s">
        <v>12</v>
      </c>
      <c r="D160" t="s">
        <v>111</v>
      </c>
      <c r="E160" t="s">
        <v>304</v>
      </c>
      <c r="F160" t="s">
        <v>305</v>
      </c>
      <c r="G160" t="s">
        <v>382</v>
      </c>
      <c r="H160"/>
      <c r="I160"/>
      <c r="J160"/>
      <c r="K160" t="s">
        <v>3431</v>
      </c>
      <c r="L160">
        <v>5281790</v>
      </c>
      <c r="M160" t="s">
        <v>775</v>
      </c>
    </row>
    <row r="161" spans="1:13" ht="15" x14ac:dyDescent="0.25">
      <c r="A161" t="s">
        <v>1490</v>
      </c>
      <c r="B161" t="s">
        <v>11</v>
      </c>
      <c r="C161" t="s">
        <v>12</v>
      </c>
      <c r="D161" t="s">
        <v>111</v>
      </c>
      <c r="E161" t="s">
        <v>304</v>
      </c>
      <c r="F161" t="s">
        <v>305</v>
      </c>
      <c r="G161" t="s">
        <v>382</v>
      </c>
      <c r="H161"/>
      <c r="I161"/>
      <c r="J161"/>
      <c r="K161" t="s">
        <v>3432</v>
      </c>
      <c r="L161">
        <v>10264116</v>
      </c>
      <c r="M161" t="s">
        <v>1573</v>
      </c>
    </row>
    <row r="162" spans="1:13" ht="15" x14ac:dyDescent="0.25">
      <c r="A162" t="s">
        <v>1895</v>
      </c>
      <c r="B162" t="s">
        <v>11</v>
      </c>
      <c r="C162" t="s">
        <v>12</v>
      </c>
      <c r="D162" t="s">
        <v>36</v>
      </c>
      <c r="E162" t="s">
        <v>37</v>
      </c>
      <c r="F162" t="s">
        <v>1896</v>
      </c>
      <c r="G162" t="s">
        <v>1897</v>
      </c>
      <c r="H162"/>
      <c r="I162"/>
      <c r="J162"/>
      <c r="K162" t="s">
        <v>3433</v>
      </c>
      <c r="L162">
        <v>10393</v>
      </c>
      <c r="M162" t="s">
        <v>2543</v>
      </c>
    </row>
    <row r="163" spans="1:13" ht="15" x14ac:dyDescent="0.25">
      <c r="A163" t="s">
        <v>441</v>
      </c>
      <c r="B163" t="s">
        <v>11</v>
      </c>
      <c r="C163" t="s">
        <v>12</v>
      </c>
      <c r="D163" t="s">
        <v>111</v>
      </c>
      <c r="E163" t="s">
        <v>304</v>
      </c>
      <c r="F163" t="s">
        <v>305</v>
      </c>
      <c r="G163" t="s">
        <v>306</v>
      </c>
      <c r="H163"/>
      <c r="I163"/>
      <c r="J163"/>
      <c r="K163" t="s">
        <v>3434</v>
      </c>
      <c r="L163">
        <v>5472440</v>
      </c>
      <c r="M163" t="s">
        <v>789</v>
      </c>
    </row>
    <row r="164" spans="1:13" ht="15" x14ac:dyDescent="0.25">
      <c r="A164" t="s">
        <v>1745</v>
      </c>
      <c r="B164" t="s">
        <v>11</v>
      </c>
      <c r="C164" t="s">
        <v>12</v>
      </c>
      <c r="D164" t="s">
        <v>36</v>
      </c>
      <c r="E164" t="s">
        <v>44</v>
      </c>
      <c r="F164" t="s">
        <v>370</v>
      </c>
      <c r="G164" t="s">
        <v>384</v>
      </c>
      <c r="H164"/>
      <c r="I164"/>
      <c r="J164"/>
      <c r="K164" t="s">
        <v>3435</v>
      </c>
      <c r="L164">
        <v>135</v>
      </c>
      <c r="M164" t="s">
        <v>2544</v>
      </c>
    </row>
    <row r="165" spans="1:13" ht="15" x14ac:dyDescent="0.25">
      <c r="A165" t="s">
        <v>1884</v>
      </c>
      <c r="B165" t="s">
        <v>11</v>
      </c>
      <c r="C165" t="s">
        <v>12</v>
      </c>
      <c r="D165" t="s">
        <v>36</v>
      </c>
      <c r="E165" t="s">
        <v>44</v>
      </c>
      <c r="F165" t="s">
        <v>370</v>
      </c>
      <c r="G165" t="s">
        <v>384</v>
      </c>
      <c r="H165"/>
      <c r="I165"/>
      <c r="J165"/>
      <c r="K165" t="s">
        <v>3436</v>
      </c>
      <c r="L165">
        <v>54675830</v>
      </c>
      <c r="M165" t="s">
        <v>2544</v>
      </c>
    </row>
    <row r="166" spans="1:13" ht="15" x14ac:dyDescent="0.25">
      <c r="A166" t="s">
        <v>1580</v>
      </c>
      <c r="B166" t="s">
        <v>11</v>
      </c>
      <c r="C166" t="s">
        <v>12</v>
      </c>
      <c r="D166" t="s">
        <v>36</v>
      </c>
      <c r="E166" t="s">
        <v>44</v>
      </c>
      <c r="F166" t="s">
        <v>370</v>
      </c>
      <c r="G166" t="s">
        <v>384</v>
      </c>
      <c r="H166" t="s">
        <v>385</v>
      </c>
      <c r="I166" t="s">
        <v>386</v>
      </c>
      <c r="J166"/>
      <c r="K166" t="s">
        <v>3437</v>
      </c>
      <c r="L166">
        <v>19</v>
      </c>
      <c r="M166" t="s">
        <v>2545</v>
      </c>
    </row>
    <row r="167" spans="1:13" ht="15" x14ac:dyDescent="0.25">
      <c r="A167" t="s">
        <v>570</v>
      </c>
      <c r="B167" t="s">
        <v>11</v>
      </c>
      <c r="C167" t="s">
        <v>12</v>
      </c>
      <c r="D167" t="s">
        <v>24</v>
      </c>
      <c r="E167" t="s">
        <v>25</v>
      </c>
      <c r="F167" t="s">
        <v>388</v>
      </c>
      <c r="G167" t="s">
        <v>571</v>
      </c>
      <c r="H167"/>
      <c r="I167"/>
      <c r="J167"/>
      <c r="K167" t="s">
        <v>3438</v>
      </c>
      <c r="L167">
        <v>8215</v>
      </c>
      <c r="M167" t="s">
        <v>822</v>
      </c>
    </row>
    <row r="168" spans="1:13" ht="15" x14ac:dyDescent="0.25">
      <c r="A168" t="s">
        <v>383</v>
      </c>
      <c r="B168" t="s">
        <v>11</v>
      </c>
      <c r="C168" t="s">
        <v>12</v>
      </c>
      <c r="D168" t="s">
        <v>36</v>
      </c>
      <c r="E168" t="s">
        <v>44</v>
      </c>
      <c r="F168" t="s">
        <v>370</v>
      </c>
      <c r="G168" t="s">
        <v>384</v>
      </c>
      <c r="H168" t="s">
        <v>385</v>
      </c>
      <c r="I168" t="s">
        <v>386</v>
      </c>
      <c r="J168"/>
      <c r="K168" t="s">
        <v>3439</v>
      </c>
      <c r="L168">
        <v>167551</v>
      </c>
      <c r="M168" t="s">
        <v>776</v>
      </c>
    </row>
    <row r="169" spans="1:13" ht="15" x14ac:dyDescent="0.25">
      <c r="A169" t="s">
        <v>2164</v>
      </c>
      <c r="B169" t="s">
        <v>11</v>
      </c>
      <c r="C169" t="s">
        <v>12</v>
      </c>
      <c r="D169" t="s">
        <v>24</v>
      </c>
      <c r="E169" t="s">
        <v>54</v>
      </c>
      <c r="F169" t="s">
        <v>55</v>
      </c>
      <c r="G169" t="s">
        <v>187</v>
      </c>
      <c r="H169"/>
      <c r="I169"/>
      <c r="J169"/>
      <c r="K169" t="s">
        <v>3440</v>
      </c>
      <c r="L169">
        <v>10364</v>
      </c>
      <c r="M169" t="s">
        <v>2305</v>
      </c>
    </row>
    <row r="170" spans="1:13" ht="15" x14ac:dyDescent="0.25">
      <c r="A170" t="s">
        <v>874</v>
      </c>
      <c r="B170" t="s">
        <v>11</v>
      </c>
      <c r="C170" t="s">
        <v>12</v>
      </c>
      <c r="D170" t="s">
        <v>228</v>
      </c>
      <c r="E170" t="s">
        <v>229</v>
      </c>
      <c r="F170" t="s">
        <v>230</v>
      </c>
      <c r="G170" t="s">
        <v>230</v>
      </c>
      <c r="H170"/>
      <c r="I170"/>
      <c r="J170"/>
      <c r="K170" t="s">
        <v>3441</v>
      </c>
      <c r="L170">
        <v>12388</v>
      </c>
      <c r="M170" t="s">
        <v>1091</v>
      </c>
    </row>
    <row r="171" spans="1:13" ht="15" x14ac:dyDescent="0.25">
      <c r="A171" t="s">
        <v>163</v>
      </c>
      <c r="B171" t="s">
        <v>11</v>
      </c>
      <c r="C171" t="s">
        <v>12</v>
      </c>
      <c r="D171" t="s">
        <v>29</v>
      </c>
      <c r="E171" t="s">
        <v>30</v>
      </c>
      <c r="F171" t="s">
        <v>105</v>
      </c>
      <c r="G171" t="s">
        <v>114</v>
      </c>
      <c r="H171" t="s">
        <v>152</v>
      </c>
      <c r="I171"/>
      <c r="J171"/>
      <c r="K171" t="s">
        <v>3442</v>
      </c>
      <c r="L171">
        <v>5283349</v>
      </c>
      <c r="M171" t="s">
        <v>2546</v>
      </c>
    </row>
    <row r="172" spans="1:13" ht="15" x14ac:dyDescent="0.25">
      <c r="A172" t="s">
        <v>893</v>
      </c>
      <c r="B172" t="s">
        <v>11</v>
      </c>
      <c r="C172" t="s">
        <v>12</v>
      </c>
      <c r="D172" t="s">
        <v>24</v>
      </c>
      <c r="E172" t="s">
        <v>54</v>
      </c>
      <c r="F172" t="s">
        <v>55</v>
      </c>
      <c r="G172" t="s">
        <v>56</v>
      </c>
      <c r="H172"/>
      <c r="I172"/>
      <c r="J172"/>
      <c r="K172" t="s">
        <v>3443</v>
      </c>
      <c r="L172">
        <v>6616</v>
      </c>
      <c r="M172" t="s">
        <v>1100</v>
      </c>
    </row>
    <row r="173" spans="1:13" ht="15" x14ac:dyDescent="0.25">
      <c r="A173" t="s">
        <v>73</v>
      </c>
      <c r="B173" t="s">
        <v>11</v>
      </c>
      <c r="C173" t="s">
        <v>12</v>
      </c>
      <c r="D173" t="s">
        <v>24</v>
      </c>
      <c r="E173" t="s">
        <v>54</v>
      </c>
      <c r="F173" t="s">
        <v>60</v>
      </c>
      <c r="G173" t="s">
        <v>60</v>
      </c>
      <c r="H173"/>
      <c r="I173"/>
      <c r="J173"/>
      <c r="K173" t="s">
        <v>3444</v>
      </c>
      <c r="L173">
        <v>5284507</v>
      </c>
      <c r="M173" t="s">
        <v>729</v>
      </c>
    </row>
    <row r="174" spans="1:13" ht="15" x14ac:dyDescent="0.25">
      <c r="A174" t="s">
        <v>2365</v>
      </c>
      <c r="B174" t="s">
        <v>11</v>
      </c>
      <c r="C174" t="s">
        <v>12</v>
      </c>
      <c r="D174" t="s">
        <v>24</v>
      </c>
      <c r="E174" t="s">
        <v>54</v>
      </c>
      <c r="F174" t="s">
        <v>60</v>
      </c>
      <c r="G174" t="s">
        <v>931</v>
      </c>
      <c r="H174"/>
      <c r="I174"/>
      <c r="J174"/>
      <c r="K174" t="s">
        <v>3445</v>
      </c>
      <c r="L174">
        <v>9548706</v>
      </c>
      <c r="M174" t="s">
        <v>2547</v>
      </c>
    </row>
    <row r="175" spans="1:13" ht="15" x14ac:dyDescent="0.25">
      <c r="A175" t="s">
        <v>2366</v>
      </c>
      <c r="B175" t="s">
        <v>11</v>
      </c>
      <c r="C175" t="s">
        <v>12</v>
      </c>
      <c r="D175" t="s">
        <v>24</v>
      </c>
      <c r="E175" t="s">
        <v>54</v>
      </c>
      <c r="F175" t="s">
        <v>60</v>
      </c>
      <c r="G175" t="s">
        <v>931</v>
      </c>
      <c r="H175"/>
      <c r="I175"/>
      <c r="J175"/>
      <c r="K175" t="s">
        <v>3446</v>
      </c>
      <c r="L175">
        <v>9548705</v>
      </c>
      <c r="M175" t="s">
        <v>2547</v>
      </c>
    </row>
    <row r="176" spans="1:13" ht="15" x14ac:dyDescent="0.25">
      <c r="A176" t="s">
        <v>2254</v>
      </c>
      <c r="B176" t="s">
        <v>11</v>
      </c>
      <c r="C176" t="s">
        <v>12</v>
      </c>
      <c r="D176" t="s">
        <v>24</v>
      </c>
      <c r="E176" t="s">
        <v>54</v>
      </c>
      <c r="F176" t="s">
        <v>60</v>
      </c>
      <c r="G176" t="s">
        <v>933</v>
      </c>
      <c r="H176" t="s">
        <v>934</v>
      </c>
      <c r="I176"/>
      <c r="J176"/>
      <c r="K176" t="s">
        <v>3447</v>
      </c>
      <c r="L176">
        <v>92231</v>
      </c>
      <c r="M176" t="s">
        <v>2334</v>
      </c>
    </row>
    <row r="177" spans="1:13" ht="15" x14ac:dyDescent="0.25">
      <c r="A177" t="s">
        <v>2245</v>
      </c>
      <c r="B177" t="s">
        <v>11</v>
      </c>
      <c r="C177" t="s">
        <v>12</v>
      </c>
      <c r="D177" t="s">
        <v>24</v>
      </c>
      <c r="E177" t="s">
        <v>54</v>
      </c>
      <c r="F177" t="s">
        <v>60</v>
      </c>
      <c r="G177" t="s">
        <v>977</v>
      </c>
      <c r="H177"/>
      <c r="I177"/>
      <c r="J177"/>
      <c r="K177" t="s">
        <v>3448</v>
      </c>
      <c r="L177">
        <v>65575</v>
      </c>
      <c r="M177" t="s">
        <v>2548</v>
      </c>
    </row>
    <row r="178" spans="1:13" ht="15" x14ac:dyDescent="0.25">
      <c r="A178" t="s">
        <v>2243</v>
      </c>
      <c r="B178" t="s">
        <v>11</v>
      </c>
      <c r="C178" t="s">
        <v>12</v>
      </c>
      <c r="D178" t="s">
        <v>24</v>
      </c>
      <c r="E178" t="s">
        <v>54</v>
      </c>
      <c r="F178" t="s">
        <v>60</v>
      </c>
      <c r="G178" t="s">
        <v>933</v>
      </c>
      <c r="H178" t="s">
        <v>934</v>
      </c>
      <c r="I178"/>
      <c r="J178"/>
      <c r="K178" t="s">
        <v>3449</v>
      </c>
      <c r="L178">
        <v>15560276</v>
      </c>
      <c r="M178" t="s">
        <v>2549</v>
      </c>
    </row>
    <row r="179" spans="1:13" ht="15" x14ac:dyDescent="0.25">
      <c r="A179" t="s">
        <v>1161</v>
      </c>
      <c r="B179" t="s">
        <v>11</v>
      </c>
      <c r="C179" t="s">
        <v>12</v>
      </c>
      <c r="D179" t="s">
        <v>24</v>
      </c>
      <c r="E179" t="s">
        <v>25</v>
      </c>
      <c r="F179" t="s">
        <v>489</v>
      </c>
      <c r="G179" t="s">
        <v>489</v>
      </c>
      <c r="H179"/>
      <c r="I179"/>
      <c r="J179"/>
      <c r="K179" t="s">
        <v>3450</v>
      </c>
      <c r="L179">
        <v>552373</v>
      </c>
      <c r="M179" t="s">
        <v>1235</v>
      </c>
    </row>
    <row r="180" spans="1:13" ht="15" x14ac:dyDescent="0.25">
      <c r="A180" t="s">
        <v>1034</v>
      </c>
      <c r="B180" t="s">
        <v>11</v>
      </c>
      <c r="C180" t="s">
        <v>12</v>
      </c>
      <c r="D180" t="s">
        <v>29</v>
      </c>
      <c r="E180" t="s">
        <v>30</v>
      </c>
      <c r="F180" t="s">
        <v>105</v>
      </c>
      <c r="G180" t="s">
        <v>106</v>
      </c>
      <c r="H180" t="s">
        <v>107</v>
      </c>
      <c r="I180" t="s">
        <v>108</v>
      </c>
      <c r="J180" t="s">
        <v>109</v>
      </c>
      <c r="K180" t="s">
        <v>3451</v>
      </c>
      <c r="L180">
        <v>7410</v>
      </c>
      <c r="M180" t="s">
        <v>1139</v>
      </c>
    </row>
    <row r="181" spans="1:13" ht="15" x14ac:dyDescent="0.25">
      <c r="A181" t="s">
        <v>421</v>
      </c>
      <c r="B181" t="s">
        <v>11</v>
      </c>
      <c r="C181" t="s">
        <v>12</v>
      </c>
      <c r="D181" t="s">
        <v>13</v>
      </c>
      <c r="E181" t="s">
        <v>422</v>
      </c>
      <c r="F181" t="s">
        <v>423</v>
      </c>
      <c r="G181" t="s">
        <v>423</v>
      </c>
      <c r="H181"/>
      <c r="I181"/>
      <c r="J181"/>
      <c r="K181" t="s">
        <v>3452</v>
      </c>
      <c r="L181">
        <v>525</v>
      </c>
      <c r="M181" t="s">
        <v>786</v>
      </c>
    </row>
    <row r="182" spans="1:13" ht="15" x14ac:dyDescent="0.25">
      <c r="A182" t="s">
        <v>1178</v>
      </c>
      <c r="B182" t="s">
        <v>11</v>
      </c>
      <c r="C182" t="s">
        <v>12</v>
      </c>
      <c r="D182" t="s">
        <v>24</v>
      </c>
      <c r="E182" t="s">
        <v>25</v>
      </c>
      <c r="F182" t="s">
        <v>388</v>
      </c>
      <c r="G182" t="s">
        <v>571</v>
      </c>
      <c r="H182"/>
      <c r="I182"/>
      <c r="J182"/>
      <c r="K182" t="s">
        <v>3453</v>
      </c>
      <c r="L182">
        <v>38626</v>
      </c>
      <c r="M182" t="s">
        <v>1240</v>
      </c>
    </row>
    <row r="183" spans="1:13" ht="15" x14ac:dyDescent="0.25">
      <c r="A183" t="s">
        <v>351</v>
      </c>
      <c r="B183" t="s">
        <v>11</v>
      </c>
      <c r="C183" t="s">
        <v>12</v>
      </c>
      <c r="D183" t="s">
        <v>29</v>
      </c>
      <c r="E183" t="s">
        <v>30</v>
      </c>
      <c r="F183" t="s">
        <v>40</v>
      </c>
      <c r="G183" t="s">
        <v>47</v>
      </c>
      <c r="H183" t="s">
        <v>331</v>
      </c>
      <c r="I183"/>
      <c r="J183"/>
      <c r="K183" t="s">
        <v>3454</v>
      </c>
      <c r="L183">
        <v>18950</v>
      </c>
      <c r="M183" t="s">
        <v>2550</v>
      </c>
    </row>
    <row r="184" spans="1:13" ht="15" x14ac:dyDescent="0.25">
      <c r="A184" t="s">
        <v>224</v>
      </c>
      <c r="B184" t="s">
        <v>11</v>
      </c>
      <c r="C184" t="s">
        <v>12</v>
      </c>
      <c r="D184" t="s">
        <v>219</v>
      </c>
      <c r="E184" t="s">
        <v>225</v>
      </c>
      <c r="F184"/>
      <c r="G184" t="s">
        <v>225</v>
      </c>
      <c r="H184"/>
      <c r="I184"/>
      <c r="J184"/>
      <c r="K184" t="s">
        <v>3455</v>
      </c>
      <c r="L184">
        <v>5379618</v>
      </c>
      <c r="M184" t="s">
        <v>742</v>
      </c>
    </row>
    <row r="185" spans="1:13" ht="15" x14ac:dyDescent="0.25">
      <c r="A185" t="s">
        <v>1759</v>
      </c>
      <c r="B185" t="s">
        <v>11</v>
      </c>
      <c r="C185" t="s">
        <v>12</v>
      </c>
      <c r="D185" t="s">
        <v>36</v>
      </c>
      <c r="E185" t="s">
        <v>44</v>
      </c>
      <c r="F185" t="s">
        <v>370</v>
      </c>
      <c r="G185" t="s">
        <v>391</v>
      </c>
      <c r="H185"/>
      <c r="I185"/>
      <c r="J185"/>
      <c r="K185" t="s">
        <v>3456</v>
      </c>
      <c r="L185">
        <v>33934</v>
      </c>
      <c r="M185" t="s">
        <v>2551</v>
      </c>
    </row>
    <row r="186" spans="1:13" ht="15" x14ac:dyDescent="0.25">
      <c r="A186" t="s">
        <v>870</v>
      </c>
      <c r="B186" t="s">
        <v>11</v>
      </c>
      <c r="C186" t="s">
        <v>12</v>
      </c>
      <c r="D186" t="s">
        <v>228</v>
      </c>
      <c r="E186" t="s">
        <v>229</v>
      </c>
      <c r="F186" t="s">
        <v>230</v>
      </c>
      <c r="G186" t="s">
        <v>230</v>
      </c>
      <c r="H186"/>
      <c r="I186"/>
      <c r="J186"/>
      <c r="K186" t="s">
        <v>3457</v>
      </c>
      <c r="L186">
        <v>12405</v>
      </c>
      <c r="M186" t="s">
        <v>1088</v>
      </c>
    </row>
    <row r="187" spans="1:13" ht="15" x14ac:dyDescent="0.25">
      <c r="A187" t="s">
        <v>883</v>
      </c>
      <c r="B187" t="s">
        <v>11</v>
      </c>
      <c r="C187" t="s">
        <v>12</v>
      </c>
      <c r="D187" t="s">
        <v>228</v>
      </c>
      <c r="E187" t="s">
        <v>229</v>
      </c>
      <c r="F187" t="s">
        <v>230</v>
      </c>
      <c r="G187" t="s">
        <v>230</v>
      </c>
      <c r="H187"/>
      <c r="I187"/>
      <c r="J187"/>
      <c r="K187" t="s">
        <v>3458</v>
      </c>
      <c r="L187">
        <v>11635</v>
      </c>
      <c r="M187" t="s">
        <v>1098</v>
      </c>
    </row>
    <row r="188" spans="1:13" ht="15" x14ac:dyDescent="0.25">
      <c r="A188" t="s">
        <v>543</v>
      </c>
      <c r="B188" t="s">
        <v>11</v>
      </c>
      <c r="C188" t="s">
        <v>12</v>
      </c>
      <c r="D188" t="s">
        <v>228</v>
      </c>
      <c r="E188" t="s">
        <v>229</v>
      </c>
      <c r="F188" t="s">
        <v>544</v>
      </c>
      <c r="G188" t="s">
        <v>544</v>
      </c>
      <c r="H188"/>
      <c r="I188"/>
      <c r="J188"/>
      <c r="K188" t="s">
        <v>3459</v>
      </c>
      <c r="L188">
        <v>520449</v>
      </c>
      <c r="M188" t="s">
        <v>814</v>
      </c>
    </row>
    <row r="189" spans="1:13" ht="15" x14ac:dyDescent="0.25">
      <c r="A189" t="s">
        <v>221</v>
      </c>
      <c r="B189" t="s">
        <v>11</v>
      </c>
      <c r="C189" t="s">
        <v>12</v>
      </c>
      <c r="D189" t="s">
        <v>222</v>
      </c>
      <c r="E189" t="s">
        <v>223</v>
      </c>
      <c r="F189"/>
      <c r="G189" t="s">
        <v>223</v>
      </c>
      <c r="H189"/>
      <c r="I189"/>
      <c r="J189"/>
      <c r="K189" t="s">
        <v>3460</v>
      </c>
      <c r="L189">
        <v>220401</v>
      </c>
      <c r="M189" t="s">
        <v>741</v>
      </c>
    </row>
    <row r="190" spans="1:13" ht="15" x14ac:dyDescent="0.25">
      <c r="A190" t="s">
        <v>614</v>
      </c>
      <c r="B190" t="s">
        <v>11</v>
      </c>
      <c r="C190" t="s">
        <v>12</v>
      </c>
      <c r="D190" t="s">
        <v>228</v>
      </c>
      <c r="E190" t="s">
        <v>233</v>
      </c>
      <c r="F190" t="s">
        <v>234</v>
      </c>
      <c r="G190" t="s">
        <v>234</v>
      </c>
      <c r="H190"/>
      <c r="I190"/>
      <c r="J190"/>
      <c r="K190" t="s">
        <v>3461</v>
      </c>
      <c r="L190">
        <v>5363630</v>
      </c>
      <c r="M190" t="s">
        <v>838</v>
      </c>
    </row>
    <row r="191" spans="1:13" ht="15" x14ac:dyDescent="0.25">
      <c r="A191" t="s">
        <v>1003</v>
      </c>
      <c r="B191" t="s">
        <v>11</v>
      </c>
      <c r="C191" t="s">
        <v>12</v>
      </c>
      <c r="D191" t="s">
        <v>36</v>
      </c>
      <c r="E191" t="s">
        <v>1004</v>
      </c>
      <c r="F191"/>
      <c r="G191" t="s">
        <v>1004</v>
      </c>
      <c r="H191"/>
      <c r="I191"/>
      <c r="J191"/>
      <c r="K191" t="s">
        <v>3462</v>
      </c>
      <c r="L191">
        <v>931</v>
      </c>
      <c r="M191" t="s">
        <v>1130</v>
      </c>
    </row>
    <row r="192" spans="1:13" ht="15" x14ac:dyDescent="0.25">
      <c r="A192" t="s">
        <v>1446</v>
      </c>
      <c r="B192" t="s">
        <v>11</v>
      </c>
      <c r="C192" t="s">
        <v>12</v>
      </c>
      <c r="D192" t="s">
        <v>101</v>
      </c>
      <c r="E192" t="s">
        <v>1259</v>
      </c>
      <c r="F192" t="s">
        <v>1260</v>
      </c>
      <c r="G192" t="s">
        <v>1261</v>
      </c>
      <c r="H192"/>
      <c r="I192"/>
      <c r="J192"/>
      <c r="K192" t="s">
        <v>3463</v>
      </c>
      <c r="L192">
        <v>4487</v>
      </c>
      <c r="M192" t="s">
        <v>1558</v>
      </c>
    </row>
    <row r="193" spans="1:13" ht="15" x14ac:dyDescent="0.25">
      <c r="A193" t="s">
        <v>1779</v>
      </c>
      <c r="B193" t="s">
        <v>11</v>
      </c>
      <c r="C193" t="s">
        <v>12</v>
      </c>
      <c r="D193" t="s">
        <v>101</v>
      </c>
      <c r="E193" t="s">
        <v>1078</v>
      </c>
      <c r="F193" t="s">
        <v>1780</v>
      </c>
      <c r="G193" t="s">
        <v>1780</v>
      </c>
      <c r="H193"/>
      <c r="I193"/>
      <c r="J193"/>
      <c r="K193" t="s">
        <v>3464</v>
      </c>
      <c r="L193">
        <v>4680</v>
      </c>
      <c r="M193" t="s">
        <v>2552</v>
      </c>
    </row>
    <row r="194" spans="1:13" ht="15" x14ac:dyDescent="0.25">
      <c r="A194" t="s">
        <v>2367</v>
      </c>
      <c r="B194" t="s">
        <v>11</v>
      </c>
      <c r="C194" t="s">
        <v>12</v>
      </c>
      <c r="D194" t="s">
        <v>219</v>
      </c>
      <c r="E194" t="s">
        <v>220</v>
      </c>
      <c r="F194"/>
      <c r="G194" t="s">
        <v>220</v>
      </c>
      <c r="H194"/>
      <c r="I194"/>
      <c r="J194"/>
      <c r="K194" t="s">
        <v>3465</v>
      </c>
      <c r="L194">
        <v>6857472</v>
      </c>
      <c r="M194" t="s">
        <v>740</v>
      </c>
    </row>
    <row r="195" spans="1:13" ht="15" x14ac:dyDescent="0.25">
      <c r="A195" t="s">
        <v>218</v>
      </c>
      <c r="B195" t="s">
        <v>11</v>
      </c>
      <c r="C195" t="s">
        <v>12</v>
      </c>
      <c r="D195" t="s">
        <v>219</v>
      </c>
      <c r="E195" t="s">
        <v>220</v>
      </c>
      <c r="F195"/>
      <c r="G195" t="s">
        <v>220</v>
      </c>
      <c r="H195"/>
      <c r="I195"/>
      <c r="J195"/>
      <c r="K195" t="s">
        <v>3466</v>
      </c>
      <c r="L195">
        <v>580281</v>
      </c>
      <c r="M195" t="s">
        <v>740</v>
      </c>
    </row>
    <row r="196" spans="1:13" ht="15" x14ac:dyDescent="0.25">
      <c r="A196" t="s">
        <v>469</v>
      </c>
      <c r="B196" t="s">
        <v>11</v>
      </c>
      <c r="C196" t="s">
        <v>12</v>
      </c>
      <c r="D196" t="s">
        <v>101</v>
      </c>
      <c r="E196" t="s">
        <v>313</v>
      </c>
      <c r="F196" t="s">
        <v>314</v>
      </c>
      <c r="G196" t="s">
        <v>470</v>
      </c>
      <c r="H196" t="s">
        <v>471</v>
      </c>
      <c r="I196"/>
      <c r="J196"/>
      <c r="K196" t="s">
        <v>3467</v>
      </c>
      <c r="L196">
        <v>68416</v>
      </c>
      <c r="M196" t="s">
        <v>800</v>
      </c>
    </row>
    <row r="197" spans="1:13" ht="15" x14ac:dyDescent="0.25">
      <c r="A197" t="s">
        <v>1434</v>
      </c>
      <c r="B197" t="s">
        <v>11</v>
      </c>
      <c r="C197" t="s">
        <v>12</v>
      </c>
      <c r="D197" t="s">
        <v>101</v>
      </c>
      <c r="E197" t="s">
        <v>313</v>
      </c>
      <c r="F197" t="s">
        <v>314</v>
      </c>
      <c r="G197" t="s">
        <v>470</v>
      </c>
      <c r="H197" t="s">
        <v>471</v>
      </c>
      <c r="I197"/>
      <c r="J197"/>
      <c r="K197" t="s">
        <v>3468</v>
      </c>
      <c r="L197">
        <v>5838</v>
      </c>
      <c r="M197" t="s">
        <v>1555</v>
      </c>
    </row>
    <row r="198" spans="1:13" ht="15" x14ac:dyDescent="0.25">
      <c r="A198" t="s">
        <v>332</v>
      </c>
      <c r="B198" t="s">
        <v>11</v>
      </c>
      <c r="C198" t="s">
        <v>12</v>
      </c>
      <c r="D198" t="s">
        <v>29</v>
      </c>
      <c r="E198" t="s">
        <v>30</v>
      </c>
      <c r="F198" t="s">
        <v>40</v>
      </c>
      <c r="G198" t="s">
        <v>47</v>
      </c>
      <c r="H198" t="s">
        <v>331</v>
      </c>
      <c r="I198"/>
      <c r="J198"/>
      <c r="K198" t="s">
        <v>3469</v>
      </c>
      <c r="L198">
        <v>441035</v>
      </c>
      <c r="M198" t="s">
        <v>2553</v>
      </c>
    </row>
    <row r="199" spans="1:13" ht="15" x14ac:dyDescent="0.25">
      <c r="A199" t="s">
        <v>1214</v>
      </c>
      <c r="B199" t="s">
        <v>11</v>
      </c>
      <c r="C199" t="s">
        <v>12</v>
      </c>
      <c r="D199" t="s">
        <v>101</v>
      </c>
      <c r="E199" t="s">
        <v>1215</v>
      </c>
      <c r="F199"/>
      <c r="G199" t="s">
        <v>1215</v>
      </c>
      <c r="H199"/>
      <c r="I199"/>
      <c r="J199"/>
      <c r="K199" t="s">
        <v>3470</v>
      </c>
      <c r="L199">
        <v>677119</v>
      </c>
      <c r="M199" t="s">
        <v>1248</v>
      </c>
    </row>
    <row r="200" spans="1:13" ht="15" x14ac:dyDescent="0.25">
      <c r="A200" t="s">
        <v>2368</v>
      </c>
      <c r="B200" t="s">
        <v>11</v>
      </c>
      <c r="C200" t="s">
        <v>12</v>
      </c>
      <c r="D200" t="s">
        <v>219</v>
      </c>
      <c r="E200" t="s">
        <v>1075</v>
      </c>
      <c r="F200"/>
      <c r="G200" t="s">
        <v>1075</v>
      </c>
      <c r="H200"/>
      <c r="I200"/>
      <c r="J200"/>
      <c r="K200" t="s">
        <v>3471</v>
      </c>
      <c r="L200">
        <v>11357338</v>
      </c>
      <c r="M200" t="s">
        <v>2554</v>
      </c>
    </row>
    <row r="201" spans="1:13" ht="15" x14ac:dyDescent="0.25">
      <c r="A201" t="s">
        <v>1379</v>
      </c>
      <c r="B201" t="s">
        <v>11</v>
      </c>
      <c r="C201" t="s">
        <v>12</v>
      </c>
      <c r="D201" t="s">
        <v>219</v>
      </c>
      <c r="E201" t="s">
        <v>1075</v>
      </c>
      <c r="F201"/>
      <c r="G201" t="s">
        <v>1075</v>
      </c>
      <c r="H201"/>
      <c r="I201"/>
      <c r="J201"/>
      <c r="K201" t="s">
        <v>3472</v>
      </c>
      <c r="L201">
        <v>620834</v>
      </c>
      <c r="M201" t="s">
        <v>2554</v>
      </c>
    </row>
    <row r="202" spans="1:13" ht="15" x14ac:dyDescent="0.25">
      <c r="A202" t="s">
        <v>1383</v>
      </c>
      <c r="B202" t="s">
        <v>11</v>
      </c>
      <c r="C202" t="s">
        <v>12</v>
      </c>
      <c r="D202" t="s">
        <v>101</v>
      </c>
      <c r="E202" t="s">
        <v>1157</v>
      </c>
      <c r="F202" t="s">
        <v>1384</v>
      </c>
      <c r="G202" t="s">
        <v>1385</v>
      </c>
      <c r="H202"/>
      <c r="I202"/>
      <c r="J202"/>
      <c r="K202" t="s">
        <v>3473</v>
      </c>
      <c r="L202">
        <v>612994</v>
      </c>
      <c r="M202" t="s">
        <v>1539</v>
      </c>
    </row>
    <row r="203" spans="1:13" ht="15" x14ac:dyDescent="0.25">
      <c r="A203" t="s">
        <v>1257</v>
      </c>
      <c r="B203" t="s">
        <v>11</v>
      </c>
      <c r="C203" t="s">
        <v>12</v>
      </c>
      <c r="D203" t="s">
        <v>101</v>
      </c>
      <c r="E203" t="s">
        <v>204</v>
      </c>
      <c r="F203" t="s">
        <v>205</v>
      </c>
      <c r="G203" t="s">
        <v>205</v>
      </c>
      <c r="H203"/>
      <c r="I203"/>
      <c r="J203"/>
      <c r="K203" t="s">
        <v>3474</v>
      </c>
      <c r="L203">
        <v>16244</v>
      </c>
      <c r="M203" t="s">
        <v>2555</v>
      </c>
    </row>
    <row r="204" spans="1:13" ht="15" x14ac:dyDescent="0.25">
      <c r="A204" t="s">
        <v>1984</v>
      </c>
      <c r="B204" t="s">
        <v>11</v>
      </c>
      <c r="C204" t="s">
        <v>12</v>
      </c>
      <c r="D204" t="s">
        <v>24</v>
      </c>
      <c r="E204" t="s">
        <v>54</v>
      </c>
      <c r="F204" t="s">
        <v>420</v>
      </c>
      <c r="G204" t="s">
        <v>420</v>
      </c>
      <c r="H204"/>
      <c r="I204"/>
      <c r="J204"/>
      <c r="K204" t="s">
        <v>3475</v>
      </c>
      <c r="L204">
        <v>10569</v>
      </c>
      <c r="M204" t="s">
        <v>2133</v>
      </c>
    </row>
    <row r="205" spans="1:13" ht="15" x14ac:dyDescent="0.25">
      <c r="A205" t="s">
        <v>589</v>
      </c>
      <c r="B205" t="s">
        <v>11</v>
      </c>
      <c r="C205" t="s">
        <v>12</v>
      </c>
      <c r="D205" t="s">
        <v>24</v>
      </c>
      <c r="E205" t="s">
        <v>25</v>
      </c>
      <c r="F205" t="s">
        <v>388</v>
      </c>
      <c r="G205" t="s">
        <v>389</v>
      </c>
      <c r="H205"/>
      <c r="I205"/>
      <c r="J205"/>
      <c r="K205" t="s">
        <v>3476</v>
      </c>
      <c r="L205">
        <v>10459</v>
      </c>
      <c r="M205" t="s">
        <v>2556</v>
      </c>
    </row>
    <row r="206" spans="1:13" ht="15" x14ac:dyDescent="0.25">
      <c r="A206" t="s">
        <v>1807</v>
      </c>
      <c r="B206" t="s">
        <v>11</v>
      </c>
      <c r="C206" t="s">
        <v>12</v>
      </c>
      <c r="D206" t="s">
        <v>36</v>
      </c>
      <c r="E206" t="s">
        <v>44</v>
      </c>
      <c r="F206" t="s">
        <v>370</v>
      </c>
      <c r="G206" t="s">
        <v>384</v>
      </c>
      <c r="H206" t="s">
        <v>385</v>
      </c>
      <c r="I206" t="s">
        <v>386</v>
      </c>
      <c r="J206"/>
      <c r="K206" t="s">
        <v>3477</v>
      </c>
      <c r="L206">
        <v>11874</v>
      </c>
      <c r="M206" t="s">
        <v>2081</v>
      </c>
    </row>
    <row r="207" spans="1:13" ht="15" x14ac:dyDescent="0.25">
      <c r="A207" t="s">
        <v>1482</v>
      </c>
      <c r="B207" t="s">
        <v>11</v>
      </c>
      <c r="C207" t="s">
        <v>12</v>
      </c>
      <c r="D207" t="s">
        <v>36</v>
      </c>
      <c r="E207" t="s">
        <v>1017</v>
      </c>
      <c r="F207" t="s">
        <v>1018</v>
      </c>
      <c r="G207" t="s">
        <v>1483</v>
      </c>
      <c r="H207"/>
      <c r="I207"/>
      <c r="J207"/>
      <c r="K207" t="s">
        <v>3478</v>
      </c>
      <c r="L207">
        <v>160717</v>
      </c>
      <c r="M207" t="s">
        <v>2557</v>
      </c>
    </row>
    <row r="208" spans="1:13" ht="15" x14ac:dyDescent="0.25">
      <c r="A208" t="s">
        <v>379</v>
      </c>
      <c r="B208" t="s">
        <v>11</v>
      </c>
      <c r="C208" t="s">
        <v>12</v>
      </c>
      <c r="D208" t="s">
        <v>13</v>
      </c>
      <c r="E208" t="s">
        <v>14</v>
      </c>
      <c r="F208" t="s">
        <v>380</v>
      </c>
      <c r="G208" t="s">
        <v>380</v>
      </c>
      <c r="H208"/>
      <c r="I208"/>
      <c r="J208"/>
      <c r="K208" t="s">
        <v>3479</v>
      </c>
      <c r="L208">
        <v>444972</v>
      </c>
      <c r="M208" t="s">
        <v>774</v>
      </c>
    </row>
    <row r="209" spans="1:13" ht="15" x14ac:dyDescent="0.25">
      <c r="A209" t="s">
        <v>995</v>
      </c>
      <c r="B209" t="s">
        <v>11</v>
      </c>
      <c r="C209" t="s">
        <v>12</v>
      </c>
      <c r="D209" t="s">
        <v>228</v>
      </c>
      <c r="E209" t="s">
        <v>229</v>
      </c>
      <c r="F209" t="s">
        <v>230</v>
      </c>
      <c r="G209" t="s">
        <v>230</v>
      </c>
      <c r="H209"/>
      <c r="I209"/>
      <c r="J209"/>
      <c r="K209" t="s">
        <v>3480</v>
      </c>
      <c r="L209">
        <v>7843</v>
      </c>
      <c r="M209" t="s">
        <v>1125</v>
      </c>
    </row>
    <row r="210" spans="1:13" ht="15" x14ac:dyDescent="0.25">
      <c r="A210" t="s">
        <v>1904</v>
      </c>
      <c r="B210" t="s">
        <v>11</v>
      </c>
      <c r="C210" t="s">
        <v>12</v>
      </c>
      <c r="D210" t="s">
        <v>29</v>
      </c>
      <c r="E210" t="s">
        <v>30</v>
      </c>
      <c r="F210" t="s">
        <v>40</v>
      </c>
      <c r="G210" t="s">
        <v>362</v>
      </c>
      <c r="H210"/>
      <c r="I210"/>
      <c r="J210"/>
      <c r="K210" t="s">
        <v>3481</v>
      </c>
      <c r="L210">
        <v>6912</v>
      </c>
      <c r="M210" t="s">
        <v>2112</v>
      </c>
    </row>
    <row r="211" spans="1:13" ht="15" x14ac:dyDescent="0.25">
      <c r="A211" t="s">
        <v>1392</v>
      </c>
      <c r="B211" t="s">
        <v>11</v>
      </c>
      <c r="C211" t="s">
        <v>12</v>
      </c>
      <c r="D211" t="s">
        <v>101</v>
      </c>
      <c r="E211" t="s">
        <v>1259</v>
      </c>
      <c r="F211" t="s">
        <v>1260</v>
      </c>
      <c r="G211" t="s">
        <v>1261</v>
      </c>
      <c r="H211"/>
      <c r="I211"/>
      <c r="J211"/>
      <c r="K211" t="s">
        <v>3482</v>
      </c>
      <c r="L211">
        <v>272614</v>
      </c>
      <c r="M211" t="s">
        <v>1543</v>
      </c>
    </row>
    <row r="212" spans="1:13" ht="15" x14ac:dyDescent="0.25">
      <c r="A212" t="s">
        <v>2369</v>
      </c>
      <c r="B212" t="s">
        <v>11</v>
      </c>
      <c r="C212" t="s">
        <v>12</v>
      </c>
      <c r="D212" t="s">
        <v>13</v>
      </c>
      <c r="E212" t="s">
        <v>422</v>
      </c>
      <c r="F212" t="s">
        <v>630</v>
      </c>
      <c r="G212" t="s">
        <v>630</v>
      </c>
      <c r="H212"/>
      <c r="I212"/>
      <c r="J212"/>
      <c r="K212" t="s">
        <v>3483</v>
      </c>
      <c r="L212">
        <v>3085666</v>
      </c>
      <c r="M212" t="s">
        <v>2558</v>
      </c>
    </row>
    <row r="213" spans="1:13" ht="15" x14ac:dyDescent="0.25">
      <c r="A213" t="s">
        <v>569</v>
      </c>
      <c r="B213" t="s">
        <v>11</v>
      </c>
      <c r="C213" t="s">
        <v>12</v>
      </c>
      <c r="D213" t="s">
        <v>24</v>
      </c>
      <c r="E213" t="s">
        <v>25</v>
      </c>
      <c r="F213" t="s">
        <v>388</v>
      </c>
      <c r="G213" t="s">
        <v>389</v>
      </c>
      <c r="H213"/>
      <c r="I213"/>
      <c r="J213"/>
      <c r="K213" t="s">
        <v>3484</v>
      </c>
      <c r="L213">
        <v>5282761</v>
      </c>
      <c r="M213" t="s">
        <v>2559</v>
      </c>
    </row>
    <row r="214" spans="1:13" ht="15" x14ac:dyDescent="0.25">
      <c r="A214" t="s">
        <v>1151</v>
      </c>
      <c r="B214" t="s">
        <v>11</v>
      </c>
      <c r="C214" t="s">
        <v>12</v>
      </c>
      <c r="D214" t="s">
        <v>101</v>
      </c>
      <c r="E214" t="s">
        <v>686</v>
      </c>
      <c r="F214" t="s">
        <v>1152</v>
      </c>
      <c r="G214" t="s">
        <v>1153</v>
      </c>
      <c r="H214"/>
      <c r="I214"/>
      <c r="J214"/>
      <c r="K214" t="s">
        <v>3485</v>
      </c>
      <c r="L214">
        <v>620137</v>
      </c>
      <c r="M214" t="s">
        <v>2560</v>
      </c>
    </row>
    <row r="215" spans="1:13" ht="15" x14ac:dyDescent="0.25">
      <c r="A215" t="s">
        <v>1835</v>
      </c>
      <c r="B215" t="s">
        <v>11</v>
      </c>
      <c r="C215" t="s">
        <v>12</v>
      </c>
      <c r="D215" t="s">
        <v>101</v>
      </c>
      <c r="E215" t="s">
        <v>250</v>
      </c>
      <c r="F215" t="s">
        <v>251</v>
      </c>
      <c r="G215" t="s">
        <v>252</v>
      </c>
      <c r="H215"/>
      <c r="I215"/>
      <c r="J215"/>
      <c r="K215" t="s">
        <v>3486</v>
      </c>
      <c r="L215">
        <v>625441</v>
      </c>
      <c r="M215" t="s">
        <v>2086</v>
      </c>
    </row>
    <row r="216" spans="1:13" ht="15" x14ac:dyDescent="0.25">
      <c r="A216" t="s">
        <v>1331</v>
      </c>
      <c r="B216" t="s">
        <v>11</v>
      </c>
      <c r="C216" t="s">
        <v>12</v>
      </c>
      <c r="D216" t="s">
        <v>101</v>
      </c>
      <c r="E216" t="s">
        <v>1332</v>
      </c>
      <c r="F216" t="s">
        <v>1333</v>
      </c>
      <c r="G216" t="s">
        <v>1334</v>
      </c>
      <c r="H216" t="s">
        <v>1335</v>
      </c>
      <c r="I216"/>
      <c r="J216"/>
      <c r="K216" t="s">
        <v>3487</v>
      </c>
      <c r="L216">
        <v>616999</v>
      </c>
      <c r="M216" t="s">
        <v>2561</v>
      </c>
    </row>
    <row r="217" spans="1:13" ht="15" x14ac:dyDescent="0.25">
      <c r="A217" t="s">
        <v>1932</v>
      </c>
      <c r="B217" t="s">
        <v>11</v>
      </c>
      <c r="C217" t="s">
        <v>12</v>
      </c>
      <c r="D217" t="s">
        <v>24</v>
      </c>
      <c r="E217" t="s">
        <v>94</v>
      </c>
      <c r="F217" t="s">
        <v>1933</v>
      </c>
      <c r="G217" t="s">
        <v>1933</v>
      </c>
      <c r="H217"/>
      <c r="I217"/>
      <c r="J217"/>
      <c r="K217" t="s">
        <v>3488</v>
      </c>
      <c r="L217">
        <v>151432</v>
      </c>
      <c r="M217" t="s">
        <v>2120</v>
      </c>
    </row>
    <row r="218" spans="1:13" ht="15" x14ac:dyDescent="0.25">
      <c r="A218" t="s">
        <v>2370</v>
      </c>
      <c r="B218" t="s">
        <v>11</v>
      </c>
      <c r="C218" t="s">
        <v>12</v>
      </c>
      <c r="D218" t="s">
        <v>24</v>
      </c>
      <c r="E218" t="s">
        <v>94</v>
      </c>
      <c r="F218" t="s">
        <v>1933</v>
      </c>
      <c r="G218" t="s">
        <v>1933</v>
      </c>
      <c r="H218"/>
      <c r="I218"/>
      <c r="J218"/>
      <c r="K218" t="s">
        <v>3489</v>
      </c>
      <c r="L218">
        <v>623386</v>
      </c>
      <c r="M218" t="s">
        <v>2120</v>
      </c>
    </row>
    <row r="219" spans="1:13" ht="15" x14ac:dyDescent="0.25">
      <c r="A219" t="s">
        <v>475</v>
      </c>
      <c r="B219" t="s">
        <v>11</v>
      </c>
      <c r="C219" t="s">
        <v>12</v>
      </c>
      <c r="D219" t="s">
        <v>24</v>
      </c>
      <c r="E219" t="s">
        <v>476</v>
      </c>
      <c r="F219" t="s">
        <v>477</v>
      </c>
      <c r="G219" t="s">
        <v>478</v>
      </c>
      <c r="H219"/>
      <c r="I219"/>
      <c r="J219"/>
      <c r="K219" t="s">
        <v>3490</v>
      </c>
      <c r="L219">
        <v>72733</v>
      </c>
      <c r="M219" t="s">
        <v>2562</v>
      </c>
    </row>
    <row r="220" spans="1:13" ht="15" x14ac:dyDescent="0.25">
      <c r="A220" t="s">
        <v>302</v>
      </c>
      <c r="B220" t="s">
        <v>11</v>
      </c>
      <c r="C220" t="s">
        <v>12</v>
      </c>
      <c r="D220" t="s">
        <v>13</v>
      </c>
      <c r="E220" t="s">
        <v>14</v>
      </c>
      <c r="F220" t="s">
        <v>255</v>
      </c>
      <c r="G220" t="s">
        <v>256</v>
      </c>
      <c r="H220" t="s">
        <v>257</v>
      </c>
      <c r="I220" t="s">
        <v>271</v>
      </c>
      <c r="J220"/>
      <c r="K220" t="s">
        <v>3491</v>
      </c>
      <c r="L220">
        <v>145742</v>
      </c>
      <c r="M220" t="s">
        <v>2563</v>
      </c>
    </row>
    <row r="221" spans="1:13" ht="15" x14ac:dyDescent="0.25">
      <c r="A221" t="s">
        <v>591</v>
      </c>
      <c r="B221" t="s">
        <v>11</v>
      </c>
      <c r="C221" t="s">
        <v>12</v>
      </c>
      <c r="D221" t="s">
        <v>24</v>
      </c>
      <c r="E221" t="s">
        <v>25</v>
      </c>
      <c r="F221" t="s">
        <v>388</v>
      </c>
      <c r="G221" t="s">
        <v>513</v>
      </c>
      <c r="H221"/>
      <c r="I221"/>
      <c r="J221"/>
      <c r="K221" t="s">
        <v>3492</v>
      </c>
      <c r="L221">
        <v>196</v>
      </c>
      <c r="M221" t="s">
        <v>2564</v>
      </c>
    </row>
    <row r="222" spans="1:13" ht="15" x14ac:dyDescent="0.25">
      <c r="A222" t="s">
        <v>341</v>
      </c>
      <c r="B222" t="s">
        <v>11</v>
      </c>
      <c r="C222" t="s">
        <v>12</v>
      </c>
      <c r="D222" t="s">
        <v>29</v>
      </c>
      <c r="E222" t="s">
        <v>30</v>
      </c>
      <c r="F222" t="s">
        <v>40</v>
      </c>
      <c r="G222" t="s">
        <v>47</v>
      </c>
      <c r="H222" t="s">
        <v>342</v>
      </c>
      <c r="I222"/>
      <c r="J222"/>
      <c r="K222" t="s">
        <v>3493</v>
      </c>
      <c r="L222">
        <v>5459879</v>
      </c>
      <c r="M222" t="s">
        <v>2565</v>
      </c>
    </row>
    <row r="223" spans="1:13" ht="15" x14ac:dyDescent="0.25">
      <c r="A223" t="s">
        <v>2371</v>
      </c>
      <c r="B223" t="s">
        <v>11</v>
      </c>
      <c r="C223" t="s">
        <v>12</v>
      </c>
      <c r="D223" t="s">
        <v>29</v>
      </c>
      <c r="E223" t="s">
        <v>30</v>
      </c>
      <c r="F223" t="s">
        <v>40</v>
      </c>
      <c r="G223" t="s">
        <v>47</v>
      </c>
      <c r="H223" t="s">
        <v>342</v>
      </c>
      <c r="I223"/>
      <c r="J223"/>
      <c r="K223" t="s">
        <v>3494</v>
      </c>
      <c r="L223">
        <v>102926</v>
      </c>
      <c r="M223" t="s">
        <v>2565</v>
      </c>
    </row>
    <row r="224" spans="1:13" ht="15" x14ac:dyDescent="0.25">
      <c r="A224" t="s">
        <v>1918</v>
      </c>
      <c r="B224" t="s">
        <v>11</v>
      </c>
      <c r="C224" t="s">
        <v>12</v>
      </c>
      <c r="D224" t="s">
        <v>36</v>
      </c>
      <c r="E224" t="s">
        <v>1919</v>
      </c>
      <c r="F224"/>
      <c r="G224" t="s">
        <v>1919</v>
      </c>
      <c r="H224"/>
      <c r="I224"/>
      <c r="J224"/>
      <c r="K224" t="s">
        <v>3495</v>
      </c>
      <c r="L224">
        <v>76415</v>
      </c>
      <c r="M224" t="s">
        <v>2566</v>
      </c>
    </row>
    <row r="225" spans="1:13" ht="15" x14ac:dyDescent="0.25">
      <c r="A225" t="s">
        <v>1077</v>
      </c>
      <c r="B225" t="s">
        <v>11</v>
      </c>
      <c r="C225" t="s">
        <v>12</v>
      </c>
      <c r="D225" t="s">
        <v>101</v>
      </c>
      <c r="E225" t="s">
        <v>1078</v>
      </c>
      <c r="F225"/>
      <c r="G225" t="s">
        <v>1078</v>
      </c>
      <c r="H225"/>
      <c r="I225"/>
      <c r="J225"/>
      <c r="K225" t="s">
        <v>3496</v>
      </c>
      <c r="L225">
        <v>613011</v>
      </c>
      <c r="M225" t="s">
        <v>2567</v>
      </c>
    </row>
    <row r="226" spans="1:13" ht="15" x14ac:dyDescent="0.25">
      <c r="A226" t="s">
        <v>582</v>
      </c>
      <c r="B226" t="s">
        <v>11</v>
      </c>
      <c r="C226" t="s">
        <v>12</v>
      </c>
      <c r="D226" t="s">
        <v>24</v>
      </c>
      <c r="E226" t="s">
        <v>25</v>
      </c>
      <c r="F226" t="s">
        <v>388</v>
      </c>
      <c r="G226" t="s">
        <v>581</v>
      </c>
      <c r="H226"/>
      <c r="I226"/>
      <c r="J226"/>
      <c r="K226" t="s">
        <v>3497</v>
      </c>
      <c r="L226">
        <v>264</v>
      </c>
      <c r="M226" t="s">
        <v>2568</v>
      </c>
    </row>
    <row r="227" spans="1:13" ht="15" x14ac:dyDescent="0.25">
      <c r="A227" t="s">
        <v>2372</v>
      </c>
      <c r="B227" t="s">
        <v>11</v>
      </c>
      <c r="C227" t="s">
        <v>12</v>
      </c>
      <c r="D227" t="s">
        <v>111</v>
      </c>
      <c r="E227" t="s">
        <v>304</v>
      </c>
      <c r="F227" t="s">
        <v>305</v>
      </c>
      <c r="G227" t="s">
        <v>382</v>
      </c>
      <c r="H227"/>
      <c r="I227"/>
      <c r="J227"/>
      <c r="K227" t="s">
        <v>3498</v>
      </c>
      <c r="L227">
        <v>1585026</v>
      </c>
      <c r="M227" t="s">
        <v>2569</v>
      </c>
    </row>
    <row r="228" spans="1:13" ht="15" x14ac:dyDescent="0.25">
      <c r="A228" t="s">
        <v>424</v>
      </c>
      <c r="B228" t="s">
        <v>11</v>
      </c>
      <c r="C228" t="s">
        <v>12</v>
      </c>
      <c r="D228" t="s">
        <v>29</v>
      </c>
      <c r="E228" t="s">
        <v>30</v>
      </c>
      <c r="F228" t="s">
        <v>40</v>
      </c>
      <c r="G228" t="s">
        <v>408</v>
      </c>
      <c r="H228"/>
      <c r="I228"/>
      <c r="J228"/>
      <c r="K228" t="s">
        <v>3499</v>
      </c>
      <c r="L228">
        <v>10690</v>
      </c>
      <c r="M228" t="s">
        <v>2570</v>
      </c>
    </row>
    <row r="229" spans="1:13" ht="15" x14ac:dyDescent="0.25">
      <c r="A229" t="s">
        <v>1472</v>
      </c>
      <c r="B229" t="s">
        <v>11</v>
      </c>
      <c r="C229" t="s">
        <v>12</v>
      </c>
      <c r="D229" t="s">
        <v>219</v>
      </c>
      <c r="E229" t="s">
        <v>1075</v>
      </c>
      <c r="F229"/>
      <c r="G229" t="s">
        <v>1075</v>
      </c>
      <c r="H229"/>
      <c r="I229"/>
      <c r="J229"/>
      <c r="K229" t="s">
        <v>3500</v>
      </c>
      <c r="L229">
        <v>5324289</v>
      </c>
      <c r="M229" t="s">
        <v>1567</v>
      </c>
    </row>
    <row r="230" spans="1:13" ht="15" x14ac:dyDescent="0.25">
      <c r="A230" t="s">
        <v>649</v>
      </c>
      <c r="B230" t="s">
        <v>11</v>
      </c>
      <c r="C230" t="s">
        <v>12</v>
      </c>
      <c r="D230" t="s">
        <v>13</v>
      </c>
      <c r="E230" t="s">
        <v>14</v>
      </c>
      <c r="F230" t="s">
        <v>429</v>
      </c>
      <c r="G230" t="s">
        <v>429</v>
      </c>
      <c r="H230"/>
      <c r="I230"/>
      <c r="J230"/>
      <c r="K230" t="s">
        <v>3501</v>
      </c>
      <c r="L230">
        <v>1032</v>
      </c>
      <c r="M230" t="s">
        <v>2571</v>
      </c>
    </row>
    <row r="231" spans="1:13" ht="15" x14ac:dyDescent="0.25">
      <c r="A231" t="s">
        <v>397</v>
      </c>
      <c r="B231" t="s">
        <v>11</v>
      </c>
      <c r="C231" t="s">
        <v>12</v>
      </c>
      <c r="D231" t="s">
        <v>36</v>
      </c>
      <c r="E231" t="s">
        <v>44</v>
      </c>
      <c r="F231" t="s">
        <v>370</v>
      </c>
      <c r="G231" t="s">
        <v>398</v>
      </c>
      <c r="H231"/>
      <c r="I231"/>
      <c r="J231"/>
      <c r="K231" t="s">
        <v>3502</v>
      </c>
      <c r="L231">
        <v>8373</v>
      </c>
      <c r="M231" t="s">
        <v>2572</v>
      </c>
    </row>
    <row r="232" spans="1:13" ht="15" x14ac:dyDescent="0.25">
      <c r="A232" t="s">
        <v>1165</v>
      </c>
      <c r="B232" t="s">
        <v>11</v>
      </c>
      <c r="C232" t="s">
        <v>12</v>
      </c>
      <c r="D232" t="s">
        <v>236</v>
      </c>
      <c r="E232" t="s">
        <v>237</v>
      </c>
      <c r="F232" t="s">
        <v>238</v>
      </c>
      <c r="G232" t="s">
        <v>1166</v>
      </c>
      <c r="H232" t="s">
        <v>1167</v>
      </c>
      <c r="I232" t="s">
        <v>1168</v>
      </c>
      <c r="J232"/>
      <c r="K232" t="s">
        <v>3503</v>
      </c>
      <c r="L232">
        <v>1237172</v>
      </c>
      <c r="M232" t="s">
        <v>1237</v>
      </c>
    </row>
    <row r="233" spans="1:13" ht="15" x14ac:dyDescent="0.25">
      <c r="A233" t="s">
        <v>427</v>
      </c>
      <c r="B233" t="s">
        <v>11</v>
      </c>
      <c r="C233" t="s">
        <v>12</v>
      </c>
      <c r="D233" t="s">
        <v>29</v>
      </c>
      <c r="E233" t="s">
        <v>30</v>
      </c>
      <c r="F233" t="s">
        <v>40</v>
      </c>
      <c r="G233" t="s">
        <v>408</v>
      </c>
      <c r="H233"/>
      <c r="I233"/>
      <c r="J233"/>
      <c r="K233" t="s">
        <v>3504</v>
      </c>
      <c r="L233">
        <v>439535</v>
      </c>
      <c r="M233" t="s">
        <v>2573</v>
      </c>
    </row>
    <row r="234" spans="1:13" ht="15" x14ac:dyDescent="0.25">
      <c r="A234" t="s">
        <v>327</v>
      </c>
      <c r="B234" t="s">
        <v>11</v>
      </c>
      <c r="C234" t="s">
        <v>12</v>
      </c>
      <c r="D234" t="s">
        <v>29</v>
      </c>
      <c r="E234" t="s">
        <v>30</v>
      </c>
      <c r="F234" t="s">
        <v>40</v>
      </c>
      <c r="G234" t="s">
        <v>47</v>
      </c>
      <c r="H234" t="s">
        <v>328</v>
      </c>
      <c r="I234"/>
      <c r="J234"/>
      <c r="K234" t="s">
        <v>3505</v>
      </c>
      <c r="L234">
        <v>439240</v>
      </c>
      <c r="M234" t="s">
        <v>2574</v>
      </c>
    </row>
    <row r="235" spans="1:13" ht="15" x14ac:dyDescent="0.25">
      <c r="A235" t="s">
        <v>329</v>
      </c>
      <c r="B235" t="s">
        <v>11</v>
      </c>
      <c r="C235" t="s">
        <v>12</v>
      </c>
      <c r="D235" t="s">
        <v>29</v>
      </c>
      <c r="E235" t="s">
        <v>30</v>
      </c>
      <c r="F235" t="s">
        <v>40</v>
      </c>
      <c r="G235" t="s">
        <v>47</v>
      </c>
      <c r="H235" t="s">
        <v>328</v>
      </c>
      <c r="I235"/>
      <c r="J235"/>
      <c r="K235" t="s">
        <v>3506</v>
      </c>
      <c r="L235">
        <v>135191</v>
      </c>
      <c r="M235" t="s">
        <v>764</v>
      </c>
    </row>
    <row r="236" spans="1:13" ht="15" x14ac:dyDescent="0.25">
      <c r="A236" t="s">
        <v>339</v>
      </c>
      <c r="B236" t="s">
        <v>11</v>
      </c>
      <c r="C236" t="s">
        <v>12</v>
      </c>
      <c r="D236" t="s">
        <v>29</v>
      </c>
      <c r="E236" t="s">
        <v>30</v>
      </c>
      <c r="F236" t="s">
        <v>40</v>
      </c>
      <c r="G236" t="s">
        <v>47</v>
      </c>
      <c r="H236" t="s">
        <v>331</v>
      </c>
      <c r="I236"/>
      <c r="J236"/>
      <c r="K236" t="s">
        <v>3507</v>
      </c>
      <c r="L236">
        <v>3034656</v>
      </c>
      <c r="M236" t="s">
        <v>2575</v>
      </c>
    </row>
    <row r="237" spans="1:13" ht="15" x14ac:dyDescent="0.25">
      <c r="A237" t="s">
        <v>1419</v>
      </c>
      <c r="B237" t="s">
        <v>11</v>
      </c>
      <c r="C237" t="s">
        <v>12</v>
      </c>
      <c r="D237" t="s">
        <v>29</v>
      </c>
      <c r="E237" t="s">
        <v>30</v>
      </c>
      <c r="F237" t="s">
        <v>40</v>
      </c>
      <c r="G237" t="s">
        <v>47</v>
      </c>
      <c r="H237" t="s">
        <v>331</v>
      </c>
      <c r="I237"/>
      <c r="J237"/>
      <c r="K237" t="s">
        <v>3508</v>
      </c>
      <c r="L237">
        <v>15559384</v>
      </c>
      <c r="M237" t="s">
        <v>2575</v>
      </c>
    </row>
    <row r="238" spans="1:13" ht="15" x14ac:dyDescent="0.25">
      <c r="A238" t="s">
        <v>203</v>
      </c>
      <c r="B238" t="s">
        <v>11</v>
      </c>
      <c r="C238" t="s">
        <v>12</v>
      </c>
      <c r="D238" t="s">
        <v>101</v>
      </c>
      <c r="E238" t="s">
        <v>204</v>
      </c>
      <c r="F238" t="s">
        <v>205</v>
      </c>
      <c r="G238" t="s">
        <v>205</v>
      </c>
      <c r="H238"/>
      <c r="I238"/>
      <c r="J238"/>
      <c r="K238" t="s">
        <v>3509</v>
      </c>
      <c r="L238">
        <v>8083</v>
      </c>
      <c r="M238" t="s">
        <v>738</v>
      </c>
    </row>
    <row r="239" spans="1:13" ht="15" x14ac:dyDescent="0.25">
      <c r="A239" t="s">
        <v>1693</v>
      </c>
      <c r="B239" t="s">
        <v>11</v>
      </c>
      <c r="C239" t="s">
        <v>12</v>
      </c>
      <c r="D239" t="s">
        <v>36</v>
      </c>
      <c r="E239" t="s">
        <v>44</v>
      </c>
      <c r="F239" t="s">
        <v>370</v>
      </c>
      <c r="G239" t="s">
        <v>384</v>
      </c>
      <c r="H239"/>
      <c r="I239"/>
      <c r="J239"/>
      <c r="K239" t="s">
        <v>3510</v>
      </c>
      <c r="L239">
        <v>66520</v>
      </c>
      <c r="M239" t="s">
        <v>2042</v>
      </c>
    </row>
    <row r="240" spans="1:13" ht="15" x14ac:dyDescent="0.25">
      <c r="A240" t="s">
        <v>1450</v>
      </c>
      <c r="B240" t="s">
        <v>11</v>
      </c>
      <c r="C240" t="s">
        <v>12</v>
      </c>
      <c r="D240" t="s">
        <v>111</v>
      </c>
      <c r="E240" t="s">
        <v>167</v>
      </c>
      <c r="F240" t="s">
        <v>1451</v>
      </c>
      <c r="G240" t="s">
        <v>1451</v>
      </c>
      <c r="H240"/>
      <c r="I240"/>
      <c r="J240"/>
      <c r="K240" t="s">
        <v>3511</v>
      </c>
      <c r="L240">
        <v>439514</v>
      </c>
      <c r="M240" t="s">
        <v>1560</v>
      </c>
    </row>
    <row r="241" spans="1:13" ht="15" x14ac:dyDescent="0.25">
      <c r="A241" t="s">
        <v>1289</v>
      </c>
      <c r="B241" t="s">
        <v>11</v>
      </c>
      <c r="C241" t="s">
        <v>12</v>
      </c>
      <c r="D241" t="s">
        <v>101</v>
      </c>
      <c r="E241" t="s">
        <v>1078</v>
      </c>
      <c r="F241"/>
      <c r="G241" t="s">
        <v>1078</v>
      </c>
      <c r="H241"/>
      <c r="I241"/>
      <c r="J241"/>
      <c r="K241" t="s">
        <v>3512</v>
      </c>
      <c r="L241">
        <v>588663</v>
      </c>
      <c r="M241" t="s">
        <v>2576</v>
      </c>
    </row>
    <row r="242" spans="1:13" ht="15" x14ac:dyDescent="0.25">
      <c r="A242" t="s">
        <v>1302</v>
      </c>
      <c r="B242" t="s">
        <v>11</v>
      </c>
      <c r="C242" t="s">
        <v>12</v>
      </c>
      <c r="D242" t="s">
        <v>101</v>
      </c>
      <c r="E242" t="s">
        <v>250</v>
      </c>
      <c r="F242" t="s">
        <v>251</v>
      </c>
      <c r="G242" t="s">
        <v>1303</v>
      </c>
      <c r="H242"/>
      <c r="I242"/>
      <c r="J242"/>
      <c r="K242" t="s">
        <v>3513</v>
      </c>
      <c r="L242">
        <v>599024</v>
      </c>
      <c r="M242" t="s">
        <v>2577</v>
      </c>
    </row>
    <row r="243" spans="1:13" ht="15" x14ac:dyDescent="0.25">
      <c r="A243" t="s">
        <v>1815</v>
      </c>
      <c r="B243" t="s">
        <v>11</v>
      </c>
      <c r="C243" t="s">
        <v>12</v>
      </c>
      <c r="D243" t="s">
        <v>36</v>
      </c>
      <c r="E243" t="s">
        <v>44</v>
      </c>
      <c r="F243" t="s">
        <v>370</v>
      </c>
      <c r="G243" t="s">
        <v>1171</v>
      </c>
      <c r="H243" t="s">
        <v>1172</v>
      </c>
      <c r="I243"/>
      <c r="J243"/>
      <c r="K243" t="s">
        <v>3514</v>
      </c>
      <c r="L243">
        <v>11461</v>
      </c>
      <c r="M243" t="s">
        <v>2578</v>
      </c>
    </row>
    <row r="244" spans="1:13" ht="15" x14ac:dyDescent="0.25">
      <c r="A244" t="s">
        <v>1217</v>
      </c>
      <c r="B244" t="s">
        <v>11</v>
      </c>
      <c r="C244" t="s">
        <v>12</v>
      </c>
      <c r="D244" t="s">
        <v>29</v>
      </c>
      <c r="E244" t="s">
        <v>30</v>
      </c>
      <c r="F244" t="s">
        <v>105</v>
      </c>
      <c r="G244" t="s">
        <v>106</v>
      </c>
      <c r="H244" t="s">
        <v>107</v>
      </c>
      <c r="I244" t="s">
        <v>1218</v>
      </c>
      <c r="J244"/>
      <c r="K244" t="s">
        <v>3515</v>
      </c>
      <c r="L244">
        <v>565600</v>
      </c>
      <c r="M244" t="s">
        <v>2579</v>
      </c>
    </row>
    <row r="245" spans="1:13" ht="15" x14ac:dyDescent="0.25">
      <c r="A245" t="s">
        <v>1422</v>
      </c>
      <c r="B245" t="s">
        <v>11</v>
      </c>
      <c r="C245" t="s">
        <v>12</v>
      </c>
      <c r="D245" t="s">
        <v>111</v>
      </c>
      <c r="E245" t="s">
        <v>167</v>
      </c>
      <c r="F245"/>
      <c r="G245" t="s">
        <v>167</v>
      </c>
      <c r="H245"/>
      <c r="I245"/>
      <c r="J245"/>
      <c r="K245" t="s">
        <v>3516</v>
      </c>
      <c r="L245">
        <v>611518</v>
      </c>
      <c r="M245" t="s">
        <v>2580</v>
      </c>
    </row>
    <row r="246" spans="1:13" ht="15" x14ac:dyDescent="0.25">
      <c r="A246" t="s">
        <v>1074</v>
      </c>
      <c r="B246" t="s">
        <v>11</v>
      </c>
      <c r="C246" t="s">
        <v>12</v>
      </c>
      <c r="D246" t="s">
        <v>219</v>
      </c>
      <c r="E246" t="s">
        <v>1075</v>
      </c>
      <c r="F246"/>
      <c r="G246" t="s">
        <v>1075</v>
      </c>
      <c r="H246"/>
      <c r="I246"/>
      <c r="J246"/>
      <c r="K246" t="s">
        <v>3517</v>
      </c>
      <c r="L246">
        <v>627274</v>
      </c>
      <c r="M246" t="s">
        <v>1150</v>
      </c>
    </row>
    <row r="247" spans="1:13" ht="15" x14ac:dyDescent="0.25">
      <c r="A247" t="s">
        <v>335</v>
      </c>
      <c r="B247" t="s">
        <v>11</v>
      </c>
      <c r="C247" t="s">
        <v>12</v>
      </c>
      <c r="D247" t="s">
        <v>29</v>
      </c>
      <c r="E247" t="s">
        <v>30</v>
      </c>
      <c r="F247" t="s">
        <v>40</v>
      </c>
      <c r="G247" t="s">
        <v>47</v>
      </c>
      <c r="H247" t="s">
        <v>331</v>
      </c>
      <c r="I247"/>
      <c r="J247"/>
      <c r="K247" t="s">
        <v>3518</v>
      </c>
      <c r="L247">
        <v>6321330</v>
      </c>
      <c r="M247" t="s">
        <v>2581</v>
      </c>
    </row>
    <row r="248" spans="1:13" ht="15" x14ac:dyDescent="0.25">
      <c r="A248" t="s">
        <v>148</v>
      </c>
      <c r="B248" t="s">
        <v>11</v>
      </c>
      <c r="C248" t="s">
        <v>12</v>
      </c>
      <c r="D248" t="s">
        <v>101</v>
      </c>
      <c r="E248" t="s">
        <v>149</v>
      </c>
      <c r="F248" t="s">
        <v>150</v>
      </c>
      <c r="G248" t="s">
        <v>150</v>
      </c>
      <c r="H248"/>
      <c r="I248"/>
      <c r="J248"/>
      <c r="K248" t="s">
        <v>3519</v>
      </c>
      <c r="L248">
        <v>2554</v>
      </c>
      <c r="M248" t="s">
        <v>734</v>
      </c>
    </row>
    <row r="249" spans="1:13" ht="15" x14ac:dyDescent="0.25">
      <c r="A249" t="s">
        <v>425</v>
      </c>
      <c r="B249" t="s">
        <v>11</v>
      </c>
      <c r="C249" t="s">
        <v>12</v>
      </c>
      <c r="D249" t="s">
        <v>36</v>
      </c>
      <c r="E249" t="s">
        <v>37</v>
      </c>
      <c r="F249" t="s">
        <v>426</v>
      </c>
      <c r="G249" t="s">
        <v>426</v>
      </c>
      <c r="H249"/>
      <c r="I249"/>
      <c r="J249"/>
      <c r="K249" t="s">
        <v>3520</v>
      </c>
      <c r="L249">
        <v>328</v>
      </c>
      <c r="M249" t="s">
        <v>2582</v>
      </c>
    </row>
    <row r="250" spans="1:13" ht="15" x14ac:dyDescent="0.25">
      <c r="A250" t="s">
        <v>249</v>
      </c>
      <c r="B250" t="s">
        <v>11</v>
      </c>
      <c r="C250" t="s">
        <v>12</v>
      </c>
      <c r="D250" t="s">
        <v>101</v>
      </c>
      <c r="E250" t="s">
        <v>250</v>
      </c>
      <c r="F250" t="s">
        <v>251</v>
      </c>
      <c r="G250" t="s">
        <v>252</v>
      </c>
      <c r="H250" t="s">
        <v>253</v>
      </c>
      <c r="I250"/>
      <c r="J250"/>
      <c r="K250" t="s">
        <v>3521</v>
      </c>
      <c r="L250">
        <v>606939</v>
      </c>
      <c r="M250" t="s">
        <v>2583</v>
      </c>
    </row>
    <row r="251" spans="1:13" ht="15" x14ac:dyDescent="0.25">
      <c r="A251" t="s">
        <v>394</v>
      </c>
      <c r="B251" t="s">
        <v>11</v>
      </c>
      <c r="C251" t="s">
        <v>12</v>
      </c>
      <c r="D251" t="s">
        <v>29</v>
      </c>
      <c r="E251" t="s">
        <v>30</v>
      </c>
      <c r="F251" t="s">
        <v>40</v>
      </c>
      <c r="G251" t="s">
        <v>41</v>
      </c>
      <c r="H251" t="s">
        <v>42</v>
      </c>
      <c r="I251"/>
      <c r="J251"/>
      <c r="K251" t="s">
        <v>3522</v>
      </c>
      <c r="L251">
        <v>14825516</v>
      </c>
      <c r="M251" t="s">
        <v>2584</v>
      </c>
    </row>
    <row r="252" spans="1:13" ht="15" x14ac:dyDescent="0.25">
      <c r="A252" t="s">
        <v>2373</v>
      </c>
      <c r="B252" t="s">
        <v>11</v>
      </c>
      <c r="C252" t="s">
        <v>12</v>
      </c>
      <c r="D252" t="s">
        <v>29</v>
      </c>
      <c r="E252" t="s">
        <v>30</v>
      </c>
      <c r="F252" t="s">
        <v>40</v>
      </c>
      <c r="G252" t="s">
        <v>41</v>
      </c>
      <c r="H252" t="s">
        <v>42</v>
      </c>
      <c r="I252"/>
      <c r="J252"/>
      <c r="K252" t="s">
        <v>3523</v>
      </c>
      <c r="L252">
        <v>11382279</v>
      </c>
      <c r="M252" t="s">
        <v>2584</v>
      </c>
    </row>
    <row r="253" spans="1:13" ht="15" x14ac:dyDescent="0.25">
      <c r="A253" t="s">
        <v>336</v>
      </c>
      <c r="B253" t="s">
        <v>11</v>
      </c>
      <c r="C253" t="s">
        <v>12</v>
      </c>
      <c r="D253" t="s">
        <v>29</v>
      </c>
      <c r="E253" t="s">
        <v>30</v>
      </c>
      <c r="F253" t="s">
        <v>40</v>
      </c>
      <c r="G253" t="s">
        <v>41</v>
      </c>
      <c r="H253" t="s">
        <v>42</v>
      </c>
      <c r="I253"/>
      <c r="J253"/>
      <c r="K253" t="s">
        <v>3524</v>
      </c>
      <c r="L253">
        <v>6148082</v>
      </c>
      <c r="M253" t="s">
        <v>2584</v>
      </c>
    </row>
    <row r="254" spans="1:13" ht="15" x14ac:dyDescent="0.25">
      <c r="A254" t="s">
        <v>1795</v>
      </c>
      <c r="B254" t="s">
        <v>11</v>
      </c>
      <c r="C254" t="s">
        <v>12</v>
      </c>
      <c r="D254" t="s">
        <v>29</v>
      </c>
      <c r="E254" t="s">
        <v>30</v>
      </c>
      <c r="F254" t="s">
        <v>31</v>
      </c>
      <c r="G254" t="s">
        <v>399</v>
      </c>
      <c r="H254" t="s">
        <v>400</v>
      </c>
      <c r="I254" t="s">
        <v>401</v>
      </c>
      <c r="J254"/>
      <c r="K254" t="s">
        <v>3525</v>
      </c>
      <c r="L254">
        <v>5280633</v>
      </c>
      <c r="M254" t="s">
        <v>2585</v>
      </c>
    </row>
    <row r="255" spans="1:13" ht="15" x14ac:dyDescent="0.25">
      <c r="A255" t="s">
        <v>436</v>
      </c>
      <c r="B255" t="s">
        <v>11</v>
      </c>
      <c r="C255" t="s">
        <v>12</v>
      </c>
      <c r="D255" t="s">
        <v>111</v>
      </c>
      <c r="E255" t="s">
        <v>437</v>
      </c>
      <c r="F255"/>
      <c r="G255" t="s">
        <v>437</v>
      </c>
      <c r="H255"/>
      <c r="I255"/>
      <c r="J255"/>
      <c r="K255" t="s">
        <v>3526</v>
      </c>
      <c r="L255">
        <v>10394</v>
      </c>
      <c r="M255" t="s">
        <v>2586</v>
      </c>
    </row>
    <row r="256" spans="1:13" ht="15" x14ac:dyDescent="0.25">
      <c r="A256" t="s">
        <v>2289</v>
      </c>
      <c r="B256" t="s">
        <v>11</v>
      </c>
      <c r="C256" t="s">
        <v>12</v>
      </c>
      <c r="D256" t="s">
        <v>24</v>
      </c>
      <c r="E256" t="s">
        <v>54</v>
      </c>
      <c r="F256" t="s">
        <v>986</v>
      </c>
      <c r="G256" t="s">
        <v>986</v>
      </c>
      <c r="H256"/>
      <c r="I256"/>
      <c r="J256"/>
      <c r="K256" t="s">
        <v>3527</v>
      </c>
      <c r="L256">
        <v>451674</v>
      </c>
      <c r="M256" t="s">
        <v>2587</v>
      </c>
    </row>
    <row r="257" spans="1:13" ht="15" x14ac:dyDescent="0.25">
      <c r="A257" t="s">
        <v>538</v>
      </c>
      <c r="B257" t="s">
        <v>11</v>
      </c>
      <c r="C257" t="s">
        <v>12</v>
      </c>
      <c r="D257" t="s">
        <v>24</v>
      </c>
      <c r="E257" t="s">
        <v>25</v>
      </c>
      <c r="F257" t="s">
        <v>388</v>
      </c>
      <c r="G257" t="s">
        <v>389</v>
      </c>
      <c r="H257"/>
      <c r="I257"/>
      <c r="J257"/>
      <c r="K257" t="s">
        <v>3528</v>
      </c>
      <c r="L257">
        <v>5282907</v>
      </c>
      <c r="M257" t="s">
        <v>2588</v>
      </c>
    </row>
    <row r="258" spans="1:13" ht="15" x14ac:dyDescent="0.25">
      <c r="A258" t="s">
        <v>2276</v>
      </c>
      <c r="B258" t="s">
        <v>11</v>
      </c>
      <c r="C258" t="s">
        <v>12</v>
      </c>
      <c r="D258" t="s">
        <v>24</v>
      </c>
      <c r="E258" t="s">
        <v>94</v>
      </c>
      <c r="F258" t="s">
        <v>1199</v>
      </c>
      <c r="G258" t="s">
        <v>1199</v>
      </c>
      <c r="H258"/>
      <c r="I258"/>
      <c r="J258"/>
      <c r="K258" t="s">
        <v>3529</v>
      </c>
      <c r="L258">
        <v>14034468</v>
      </c>
      <c r="M258" t="s">
        <v>2343</v>
      </c>
    </row>
    <row r="259" spans="1:13" ht="15" x14ac:dyDescent="0.25">
      <c r="A259" t="s">
        <v>2265</v>
      </c>
      <c r="B259" t="s">
        <v>11</v>
      </c>
      <c r="C259" t="s">
        <v>12</v>
      </c>
      <c r="D259" t="s">
        <v>24</v>
      </c>
      <c r="E259" t="s">
        <v>94</v>
      </c>
      <c r="F259" t="s">
        <v>1199</v>
      </c>
      <c r="G259" t="s">
        <v>1199</v>
      </c>
      <c r="H259"/>
      <c r="I259"/>
      <c r="J259"/>
      <c r="K259" t="s">
        <v>3530</v>
      </c>
      <c r="L259">
        <v>78385010</v>
      </c>
      <c r="M259" t="s">
        <v>2335</v>
      </c>
    </row>
    <row r="260" spans="1:13" ht="15" x14ac:dyDescent="0.25">
      <c r="A260" t="s">
        <v>2266</v>
      </c>
      <c r="B260" t="s">
        <v>11</v>
      </c>
      <c r="C260" t="s">
        <v>12</v>
      </c>
      <c r="D260" t="s">
        <v>24</v>
      </c>
      <c r="E260" t="s">
        <v>54</v>
      </c>
      <c r="F260" t="s">
        <v>986</v>
      </c>
      <c r="G260" t="s">
        <v>986</v>
      </c>
      <c r="H260"/>
      <c r="I260"/>
      <c r="J260"/>
      <c r="K260" t="s">
        <v>3531</v>
      </c>
      <c r="L260">
        <v>13893946</v>
      </c>
      <c r="M260" t="s">
        <v>2336</v>
      </c>
    </row>
    <row r="261" spans="1:13" ht="15" x14ac:dyDescent="0.25">
      <c r="A261" t="s">
        <v>998</v>
      </c>
      <c r="B261" t="s">
        <v>11</v>
      </c>
      <c r="C261" t="s">
        <v>12</v>
      </c>
      <c r="D261" t="s">
        <v>228</v>
      </c>
      <c r="E261" t="s">
        <v>233</v>
      </c>
      <c r="F261" t="s">
        <v>234</v>
      </c>
      <c r="G261" t="s">
        <v>234</v>
      </c>
      <c r="H261"/>
      <c r="I261"/>
      <c r="J261"/>
      <c r="K261" t="s">
        <v>3532</v>
      </c>
      <c r="L261">
        <v>528972</v>
      </c>
      <c r="M261" t="s">
        <v>2589</v>
      </c>
    </row>
    <row r="262" spans="1:13" ht="15" x14ac:dyDescent="0.25">
      <c r="A262" t="s">
        <v>607</v>
      </c>
      <c r="B262" t="s">
        <v>11</v>
      </c>
      <c r="C262" t="s">
        <v>12</v>
      </c>
      <c r="D262" t="s">
        <v>228</v>
      </c>
      <c r="E262" t="s">
        <v>233</v>
      </c>
      <c r="F262" t="s">
        <v>234</v>
      </c>
      <c r="G262" t="s">
        <v>234</v>
      </c>
      <c r="H262"/>
      <c r="I262"/>
      <c r="J262"/>
      <c r="K262" t="s">
        <v>3533</v>
      </c>
      <c r="L262">
        <v>29303</v>
      </c>
      <c r="M262" t="s">
        <v>2590</v>
      </c>
    </row>
    <row r="263" spans="1:13" ht="15" x14ac:dyDescent="0.25">
      <c r="A263" t="s">
        <v>613</v>
      </c>
      <c r="B263" t="s">
        <v>11</v>
      </c>
      <c r="C263" t="s">
        <v>12</v>
      </c>
      <c r="D263" t="s">
        <v>228</v>
      </c>
      <c r="E263" t="s">
        <v>233</v>
      </c>
      <c r="F263" t="s">
        <v>234</v>
      </c>
      <c r="G263" t="s">
        <v>234</v>
      </c>
      <c r="H263"/>
      <c r="I263"/>
      <c r="J263"/>
      <c r="K263" t="s">
        <v>3534</v>
      </c>
      <c r="L263">
        <v>528971</v>
      </c>
      <c r="M263" t="s">
        <v>2591</v>
      </c>
    </row>
    <row r="264" spans="1:13" ht="15" x14ac:dyDescent="0.25">
      <c r="A264" t="s">
        <v>612</v>
      </c>
      <c r="B264" t="s">
        <v>11</v>
      </c>
      <c r="C264" t="s">
        <v>12</v>
      </c>
      <c r="D264" t="s">
        <v>228</v>
      </c>
      <c r="E264" t="s">
        <v>233</v>
      </c>
      <c r="F264" t="s">
        <v>234</v>
      </c>
      <c r="G264" t="s">
        <v>234</v>
      </c>
      <c r="H264"/>
      <c r="I264"/>
      <c r="J264"/>
      <c r="K264" t="s">
        <v>3535</v>
      </c>
      <c r="L264">
        <v>87821</v>
      </c>
      <c r="M264" t="s">
        <v>2592</v>
      </c>
    </row>
    <row r="265" spans="1:13" ht="15" x14ac:dyDescent="0.25">
      <c r="A265" t="s">
        <v>1002</v>
      </c>
      <c r="B265" t="s">
        <v>11</v>
      </c>
      <c r="C265" t="s">
        <v>12</v>
      </c>
      <c r="D265" t="s">
        <v>228</v>
      </c>
      <c r="E265" t="s">
        <v>233</v>
      </c>
      <c r="F265" t="s">
        <v>234</v>
      </c>
      <c r="G265" t="s">
        <v>234</v>
      </c>
      <c r="H265"/>
      <c r="I265"/>
      <c r="J265"/>
      <c r="K265" t="s">
        <v>3536</v>
      </c>
      <c r="L265">
        <v>156989</v>
      </c>
      <c r="M265" t="s">
        <v>2593</v>
      </c>
    </row>
    <row r="266" spans="1:13" ht="15" x14ac:dyDescent="0.25">
      <c r="A266" t="s">
        <v>611</v>
      </c>
      <c r="B266" t="s">
        <v>11</v>
      </c>
      <c r="C266" t="s">
        <v>12</v>
      </c>
      <c r="D266" t="s">
        <v>228</v>
      </c>
      <c r="E266" t="s">
        <v>233</v>
      </c>
      <c r="F266" t="s">
        <v>234</v>
      </c>
      <c r="G266" t="s">
        <v>234</v>
      </c>
      <c r="H266"/>
      <c r="I266"/>
      <c r="J266"/>
      <c r="K266" t="s">
        <v>3537</v>
      </c>
      <c r="L266">
        <v>528988</v>
      </c>
      <c r="M266" t="s">
        <v>2594</v>
      </c>
    </row>
    <row r="267" spans="1:13" ht="15" x14ac:dyDescent="0.25">
      <c r="A267" t="s">
        <v>877</v>
      </c>
      <c r="B267" t="s">
        <v>11</v>
      </c>
      <c r="C267" t="s">
        <v>12</v>
      </c>
      <c r="D267" t="s">
        <v>228</v>
      </c>
      <c r="E267" t="s">
        <v>233</v>
      </c>
      <c r="F267" t="s">
        <v>234</v>
      </c>
      <c r="G267" t="s">
        <v>234</v>
      </c>
      <c r="H267"/>
      <c r="I267"/>
      <c r="J267"/>
      <c r="K267" t="s">
        <v>3538</v>
      </c>
      <c r="L267">
        <v>6429689</v>
      </c>
      <c r="M267" t="s">
        <v>2595</v>
      </c>
    </row>
    <row r="268" spans="1:13" ht="15" x14ac:dyDescent="0.25">
      <c r="A268" t="s">
        <v>610</v>
      </c>
      <c r="B268" t="s">
        <v>11</v>
      </c>
      <c r="C268" t="s">
        <v>12</v>
      </c>
      <c r="D268" t="s">
        <v>228</v>
      </c>
      <c r="E268" t="s">
        <v>233</v>
      </c>
      <c r="F268" t="s">
        <v>234</v>
      </c>
      <c r="G268" t="s">
        <v>234</v>
      </c>
      <c r="H268"/>
      <c r="I268"/>
      <c r="J268"/>
      <c r="K268" t="s">
        <v>3539</v>
      </c>
      <c r="L268">
        <v>13829222</v>
      </c>
      <c r="M268" t="s">
        <v>2596</v>
      </c>
    </row>
    <row r="269" spans="1:13" ht="15" x14ac:dyDescent="0.25">
      <c r="A269" t="s">
        <v>867</v>
      </c>
      <c r="B269" t="s">
        <v>11</v>
      </c>
      <c r="C269" t="s">
        <v>12</v>
      </c>
      <c r="D269" t="s">
        <v>228</v>
      </c>
      <c r="E269" t="s">
        <v>229</v>
      </c>
      <c r="F269" t="s">
        <v>230</v>
      </c>
      <c r="G269" t="s">
        <v>230</v>
      </c>
      <c r="H269"/>
      <c r="I269"/>
      <c r="J269"/>
      <c r="K269" t="s">
        <v>3540</v>
      </c>
      <c r="L269">
        <v>12406</v>
      </c>
      <c r="M269" t="s">
        <v>1085</v>
      </c>
    </row>
    <row r="270" spans="1:13" ht="15" x14ac:dyDescent="0.25">
      <c r="A270" t="s">
        <v>1012</v>
      </c>
      <c r="B270" t="s">
        <v>11</v>
      </c>
      <c r="C270" t="s">
        <v>12</v>
      </c>
      <c r="D270" t="s">
        <v>228</v>
      </c>
      <c r="E270" t="s">
        <v>229</v>
      </c>
      <c r="F270" t="s">
        <v>230</v>
      </c>
      <c r="G270" t="s">
        <v>230</v>
      </c>
      <c r="H270"/>
      <c r="I270"/>
      <c r="J270"/>
      <c r="K270" t="s">
        <v>3541</v>
      </c>
      <c r="L270">
        <v>12407</v>
      </c>
      <c r="M270" t="s">
        <v>1133</v>
      </c>
    </row>
    <row r="271" spans="1:13" ht="15" x14ac:dyDescent="0.25">
      <c r="A271" t="s">
        <v>882</v>
      </c>
      <c r="B271" t="s">
        <v>11</v>
      </c>
      <c r="C271" t="s">
        <v>12</v>
      </c>
      <c r="D271" t="s">
        <v>228</v>
      </c>
      <c r="E271" t="s">
        <v>229</v>
      </c>
      <c r="F271" t="s">
        <v>230</v>
      </c>
      <c r="G271" t="s">
        <v>230</v>
      </c>
      <c r="H271"/>
      <c r="I271"/>
      <c r="J271"/>
      <c r="K271" t="s">
        <v>3542</v>
      </c>
      <c r="L271">
        <v>12409</v>
      </c>
      <c r="M271" t="s">
        <v>1097</v>
      </c>
    </row>
    <row r="272" spans="1:13" ht="15" x14ac:dyDescent="0.25">
      <c r="A272" t="s">
        <v>865</v>
      </c>
      <c r="B272" t="s">
        <v>11</v>
      </c>
      <c r="C272" t="s">
        <v>12</v>
      </c>
      <c r="D272" t="s">
        <v>228</v>
      </c>
      <c r="E272" t="s">
        <v>229</v>
      </c>
      <c r="F272" t="s">
        <v>230</v>
      </c>
      <c r="G272" t="s">
        <v>230</v>
      </c>
      <c r="H272"/>
      <c r="I272"/>
      <c r="J272"/>
      <c r="K272" t="s">
        <v>3543</v>
      </c>
      <c r="L272">
        <v>12410</v>
      </c>
      <c r="M272" t="s">
        <v>1083</v>
      </c>
    </row>
    <row r="273" spans="1:13" ht="15" x14ac:dyDescent="0.25">
      <c r="A273" t="s">
        <v>595</v>
      </c>
      <c r="B273" t="s">
        <v>11</v>
      </c>
      <c r="C273" t="s">
        <v>12</v>
      </c>
      <c r="D273" t="s">
        <v>24</v>
      </c>
      <c r="E273" t="s">
        <v>25</v>
      </c>
      <c r="F273" t="s">
        <v>489</v>
      </c>
      <c r="G273" t="s">
        <v>533</v>
      </c>
      <c r="H273" t="s">
        <v>534</v>
      </c>
      <c r="I273"/>
      <c r="J273"/>
      <c r="K273" t="s">
        <v>3544</v>
      </c>
      <c r="L273">
        <v>75778</v>
      </c>
      <c r="M273" t="s">
        <v>2597</v>
      </c>
    </row>
    <row r="274" spans="1:13" ht="15" x14ac:dyDescent="0.25">
      <c r="A274" t="s">
        <v>532</v>
      </c>
      <c r="B274" t="s">
        <v>11</v>
      </c>
      <c r="C274" t="s">
        <v>12</v>
      </c>
      <c r="D274" t="s">
        <v>24</v>
      </c>
      <c r="E274" t="s">
        <v>25</v>
      </c>
      <c r="F274" t="s">
        <v>489</v>
      </c>
      <c r="G274" t="s">
        <v>533</v>
      </c>
      <c r="H274" t="s">
        <v>534</v>
      </c>
      <c r="I274"/>
      <c r="J274"/>
      <c r="K274" t="s">
        <v>3545</v>
      </c>
      <c r="L274">
        <v>89702</v>
      </c>
      <c r="M274" t="s">
        <v>2598</v>
      </c>
    </row>
    <row r="275" spans="1:13" ht="15" x14ac:dyDescent="0.25">
      <c r="A275" t="s">
        <v>80</v>
      </c>
      <c r="B275" t="s">
        <v>11</v>
      </c>
      <c r="C275" t="s">
        <v>12</v>
      </c>
      <c r="D275" t="s">
        <v>24</v>
      </c>
      <c r="E275" t="s">
        <v>25</v>
      </c>
      <c r="F275" t="s">
        <v>26</v>
      </c>
      <c r="G275" t="s">
        <v>52</v>
      </c>
      <c r="H275"/>
      <c r="I275"/>
      <c r="J275"/>
      <c r="K275" t="s">
        <v>3546</v>
      </c>
      <c r="L275">
        <v>8221</v>
      </c>
      <c r="M275" t="s">
        <v>2599</v>
      </c>
    </row>
    <row r="276" spans="1:13" ht="15" x14ac:dyDescent="0.25">
      <c r="A276" t="s">
        <v>81</v>
      </c>
      <c r="B276" t="s">
        <v>11</v>
      </c>
      <c r="C276" t="s">
        <v>12</v>
      </c>
      <c r="D276" t="s">
        <v>24</v>
      </c>
      <c r="E276" t="s">
        <v>25</v>
      </c>
      <c r="F276" t="s">
        <v>26</v>
      </c>
      <c r="G276" t="s">
        <v>52</v>
      </c>
      <c r="H276"/>
      <c r="I276"/>
      <c r="J276"/>
      <c r="K276" t="s">
        <v>3547</v>
      </c>
      <c r="L276">
        <v>12404</v>
      </c>
      <c r="M276" t="s">
        <v>2600</v>
      </c>
    </row>
    <row r="277" spans="1:13" ht="15" x14ac:dyDescent="0.25">
      <c r="A277" t="s">
        <v>82</v>
      </c>
      <c r="B277" t="s">
        <v>11</v>
      </c>
      <c r="C277" t="s">
        <v>12</v>
      </c>
      <c r="D277" t="s">
        <v>24</v>
      </c>
      <c r="E277" t="s">
        <v>25</v>
      </c>
      <c r="F277" t="s">
        <v>26</v>
      </c>
      <c r="G277" t="s">
        <v>26</v>
      </c>
      <c r="H277"/>
      <c r="I277"/>
      <c r="J277"/>
      <c r="K277" t="s">
        <v>3548</v>
      </c>
      <c r="L277">
        <v>12620</v>
      </c>
      <c r="M277" t="s">
        <v>730</v>
      </c>
    </row>
    <row r="278" spans="1:13" ht="15" x14ac:dyDescent="0.25">
      <c r="A278" t="s">
        <v>83</v>
      </c>
      <c r="B278" t="s">
        <v>11</v>
      </c>
      <c r="C278" t="s">
        <v>12</v>
      </c>
      <c r="D278" t="s">
        <v>24</v>
      </c>
      <c r="E278" t="s">
        <v>25</v>
      </c>
      <c r="F278" t="s">
        <v>26</v>
      </c>
      <c r="G278" t="s">
        <v>26</v>
      </c>
      <c r="H278"/>
      <c r="I278"/>
      <c r="J278"/>
      <c r="K278" t="s">
        <v>3549</v>
      </c>
      <c r="L278">
        <v>10472</v>
      </c>
      <c r="M278" t="s">
        <v>2601</v>
      </c>
    </row>
    <row r="279" spans="1:13" ht="15" x14ac:dyDescent="0.25">
      <c r="A279" t="s">
        <v>84</v>
      </c>
      <c r="B279" t="s">
        <v>11</v>
      </c>
      <c r="C279" t="s">
        <v>12</v>
      </c>
      <c r="D279" t="s">
        <v>24</v>
      </c>
      <c r="E279" t="s">
        <v>25</v>
      </c>
      <c r="F279" t="s">
        <v>26</v>
      </c>
      <c r="G279" t="s">
        <v>26</v>
      </c>
      <c r="H279"/>
      <c r="I279"/>
      <c r="J279"/>
      <c r="K279" t="s">
        <v>3550</v>
      </c>
      <c r="L279">
        <v>68171</v>
      </c>
      <c r="M279" t="s">
        <v>2602</v>
      </c>
    </row>
    <row r="280" spans="1:13" ht="15" x14ac:dyDescent="0.25">
      <c r="A280" t="s">
        <v>85</v>
      </c>
      <c r="B280" t="s">
        <v>11</v>
      </c>
      <c r="C280" t="s">
        <v>12</v>
      </c>
      <c r="D280" t="s">
        <v>24</v>
      </c>
      <c r="E280" t="s">
        <v>25</v>
      </c>
      <c r="F280" t="s">
        <v>26</v>
      </c>
      <c r="G280" t="s">
        <v>26</v>
      </c>
      <c r="H280"/>
      <c r="I280"/>
      <c r="J280"/>
      <c r="K280" t="s">
        <v>3551</v>
      </c>
      <c r="L280">
        <v>68406</v>
      </c>
      <c r="M280" t="s">
        <v>2603</v>
      </c>
    </row>
    <row r="281" spans="1:13" ht="15" x14ac:dyDescent="0.25">
      <c r="A281" t="s">
        <v>86</v>
      </c>
      <c r="B281" t="s">
        <v>11</v>
      </c>
      <c r="C281" t="s">
        <v>12</v>
      </c>
      <c r="D281" t="s">
        <v>24</v>
      </c>
      <c r="E281" t="s">
        <v>25</v>
      </c>
      <c r="F281" t="s">
        <v>26</v>
      </c>
      <c r="G281" t="s">
        <v>26</v>
      </c>
      <c r="H281"/>
      <c r="I281"/>
      <c r="J281"/>
      <c r="K281" t="s">
        <v>3552</v>
      </c>
      <c r="L281">
        <v>68972</v>
      </c>
      <c r="M281" t="s">
        <v>2604</v>
      </c>
    </row>
    <row r="282" spans="1:13" ht="15" x14ac:dyDescent="0.25">
      <c r="A282" t="s">
        <v>88</v>
      </c>
      <c r="B282" t="s">
        <v>11</v>
      </c>
      <c r="C282" t="s">
        <v>12</v>
      </c>
      <c r="D282" t="s">
        <v>24</v>
      </c>
      <c r="E282" t="s">
        <v>25</v>
      </c>
      <c r="F282" t="s">
        <v>26</v>
      </c>
      <c r="G282" t="s">
        <v>26</v>
      </c>
      <c r="H282"/>
      <c r="I282"/>
      <c r="J282"/>
      <c r="K282" t="s">
        <v>3553</v>
      </c>
      <c r="L282">
        <v>96117</v>
      </c>
      <c r="M282" t="s">
        <v>731</v>
      </c>
    </row>
    <row r="283" spans="1:13" ht="15" x14ac:dyDescent="0.25">
      <c r="A283" t="s">
        <v>499</v>
      </c>
      <c r="B283" t="s">
        <v>11</v>
      </c>
      <c r="C283" t="s">
        <v>12</v>
      </c>
      <c r="D283" t="s">
        <v>24</v>
      </c>
      <c r="E283" t="s">
        <v>25</v>
      </c>
      <c r="F283" t="s">
        <v>489</v>
      </c>
      <c r="G283" t="s">
        <v>500</v>
      </c>
      <c r="H283"/>
      <c r="I283"/>
      <c r="J283"/>
      <c r="K283" t="s">
        <v>3554</v>
      </c>
      <c r="L283">
        <v>8139</v>
      </c>
      <c r="M283" t="s">
        <v>803</v>
      </c>
    </row>
    <row r="284" spans="1:13" ht="15" x14ac:dyDescent="0.25">
      <c r="A284" t="s">
        <v>1187</v>
      </c>
      <c r="B284" t="s">
        <v>11</v>
      </c>
      <c r="C284" t="s">
        <v>12</v>
      </c>
      <c r="D284" t="s">
        <v>24</v>
      </c>
      <c r="E284" t="s">
        <v>25</v>
      </c>
      <c r="F284" t="s">
        <v>489</v>
      </c>
      <c r="G284" t="s">
        <v>489</v>
      </c>
      <c r="H284"/>
      <c r="I284"/>
      <c r="J284"/>
      <c r="K284" t="s">
        <v>3555</v>
      </c>
      <c r="L284">
        <v>5370350</v>
      </c>
      <c r="M284" t="s">
        <v>2605</v>
      </c>
    </row>
    <row r="285" spans="1:13" ht="15" x14ac:dyDescent="0.25">
      <c r="A285" t="s">
        <v>514</v>
      </c>
      <c r="B285" t="s">
        <v>11</v>
      </c>
      <c r="C285" t="s">
        <v>12</v>
      </c>
      <c r="D285" t="s">
        <v>24</v>
      </c>
      <c r="E285" t="s">
        <v>25</v>
      </c>
      <c r="F285" t="s">
        <v>489</v>
      </c>
      <c r="G285" t="s">
        <v>500</v>
      </c>
      <c r="H285"/>
      <c r="I285"/>
      <c r="J285"/>
      <c r="K285" t="s">
        <v>3556</v>
      </c>
      <c r="L285">
        <v>75546</v>
      </c>
      <c r="M285" t="s">
        <v>807</v>
      </c>
    </row>
    <row r="286" spans="1:13" ht="15" x14ac:dyDescent="0.25">
      <c r="A286" t="s">
        <v>507</v>
      </c>
      <c r="B286" t="s">
        <v>11</v>
      </c>
      <c r="C286" t="s">
        <v>12</v>
      </c>
      <c r="D286" t="s">
        <v>24</v>
      </c>
      <c r="E286" t="s">
        <v>25</v>
      </c>
      <c r="F286" t="s">
        <v>489</v>
      </c>
      <c r="G286" t="s">
        <v>500</v>
      </c>
      <c r="H286"/>
      <c r="I286"/>
      <c r="J286"/>
      <c r="K286" t="s">
        <v>3557</v>
      </c>
      <c r="L286">
        <v>22048</v>
      </c>
      <c r="M286" t="s">
        <v>806</v>
      </c>
    </row>
    <row r="287" spans="1:13" ht="15" x14ac:dyDescent="0.25">
      <c r="A287" t="s">
        <v>521</v>
      </c>
      <c r="B287" t="s">
        <v>11</v>
      </c>
      <c r="C287" t="s">
        <v>12</v>
      </c>
      <c r="D287" t="s">
        <v>24</v>
      </c>
      <c r="E287" t="s">
        <v>25</v>
      </c>
      <c r="F287" t="s">
        <v>489</v>
      </c>
      <c r="G287" t="s">
        <v>500</v>
      </c>
      <c r="H287"/>
      <c r="I287"/>
      <c r="J287"/>
      <c r="K287" t="s">
        <v>3558</v>
      </c>
      <c r="L287">
        <v>41518</v>
      </c>
      <c r="M287" t="s">
        <v>2606</v>
      </c>
    </row>
    <row r="288" spans="1:13" ht="15" x14ac:dyDescent="0.25">
      <c r="A288" t="s">
        <v>1284</v>
      </c>
      <c r="B288" t="s">
        <v>11</v>
      </c>
      <c r="C288" t="s">
        <v>12</v>
      </c>
      <c r="D288" t="s">
        <v>24</v>
      </c>
      <c r="E288" t="s">
        <v>25</v>
      </c>
      <c r="F288" t="s">
        <v>489</v>
      </c>
      <c r="G288" t="s">
        <v>500</v>
      </c>
      <c r="H288"/>
      <c r="I288"/>
      <c r="J288"/>
      <c r="K288" t="s">
        <v>3559</v>
      </c>
      <c r="L288">
        <v>13908485</v>
      </c>
      <c r="M288" t="s">
        <v>2607</v>
      </c>
    </row>
    <row r="289" spans="1:13" ht="15" x14ac:dyDescent="0.25">
      <c r="A289" t="s">
        <v>878</v>
      </c>
      <c r="B289" t="s">
        <v>11</v>
      </c>
      <c r="C289" t="s">
        <v>12</v>
      </c>
      <c r="D289" t="s">
        <v>228</v>
      </c>
      <c r="E289" t="s">
        <v>229</v>
      </c>
      <c r="F289" t="s">
        <v>230</v>
      </c>
      <c r="G289" t="s">
        <v>230</v>
      </c>
      <c r="H289"/>
      <c r="I289"/>
      <c r="J289"/>
      <c r="K289" t="s">
        <v>3560</v>
      </c>
      <c r="L289">
        <v>12403</v>
      </c>
      <c r="M289" t="s">
        <v>1094</v>
      </c>
    </row>
    <row r="290" spans="1:13" ht="15" x14ac:dyDescent="0.25">
      <c r="A290" t="s">
        <v>881</v>
      </c>
      <c r="B290" t="s">
        <v>11</v>
      </c>
      <c r="C290" t="s">
        <v>12</v>
      </c>
      <c r="D290" t="s">
        <v>228</v>
      </c>
      <c r="E290" t="s">
        <v>229</v>
      </c>
      <c r="F290" t="s">
        <v>230</v>
      </c>
      <c r="G290" t="s">
        <v>230</v>
      </c>
      <c r="H290"/>
      <c r="I290"/>
      <c r="J290"/>
      <c r="K290" t="s">
        <v>3561</v>
      </c>
      <c r="L290">
        <v>12535</v>
      </c>
      <c r="M290" t="s">
        <v>1096</v>
      </c>
    </row>
    <row r="291" spans="1:13" ht="15" x14ac:dyDescent="0.25">
      <c r="A291" t="s">
        <v>2264</v>
      </c>
      <c r="B291" t="s">
        <v>11</v>
      </c>
      <c r="C291" t="s">
        <v>12</v>
      </c>
      <c r="D291" t="s">
        <v>24</v>
      </c>
      <c r="E291" t="s">
        <v>54</v>
      </c>
      <c r="F291" t="s">
        <v>986</v>
      </c>
      <c r="G291" t="s">
        <v>986</v>
      </c>
      <c r="H291"/>
      <c r="I291"/>
      <c r="J291"/>
      <c r="K291" t="s">
        <v>3562</v>
      </c>
      <c r="L291">
        <v>612828</v>
      </c>
      <c r="M291" t="s">
        <v>2608</v>
      </c>
    </row>
    <row r="292" spans="1:13" ht="15" x14ac:dyDescent="0.25">
      <c r="A292" t="s">
        <v>897</v>
      </c>
      <c r="B292" t="s">
        <v>11</v>
      </c>
      <c r="C292" t="s">
        <v>12</v>
      </c>
      <c r="D292" t="s">
        <v>24</v>
      </c>
      <c r="E292" t="s">
        <v>54</v>
      </c>
      <c r="F292" t="s">
        <v>55</v>
      </c>
      <c r="G292" t="s">
        <v>97</v>
      </c>
      <c r="H292"/>
      <c r="I292"/>
      <c r="J292"/>
      <c r="K292" t="s">
        <v>3563</v>
      </c>
      <c r="L292">
        <v>21671</v>
      </c>
      <c r="M292" t="s">
        <v>2609</v>
      </c>
    </row>
    <row r="293" spans="1:13" ht="15" x14ac:dyDescent="0.25">
      <c r="A293" t="s">
        <v>885</v>
      </c>
      <c r="B293" t="s">
        <v>11</v>
      </c>
      <c r="C293" t="s">
        <v>12</v>
      </c>
      <c r="D293" t="s">
        <v>36</v>
      </c>
      <c r="E293" t="s">
        <v>44</v>
      </c>
      <c r="F293" t="s">
        <v>886</v>
      </c>
      <c r="G293" t="s">
        <v>886</v>
      </c>
      <c r="H293"/>
      <c r="I293"/>
      <c r="J293"/>
      <c r="K293" t="s">
        <v>3564</v>
      </c>
      <c r="L293">
        <v>62385</v>
      </c>
      <c r="M293" t="s">
        <v>2610</v>
      </c>
    </row>
    <row r="294" spans="1:13" ht="15" x14ac:dyDescent="0.25">
      <c r="A294" t="s">
        <v>197</v>
      </c>
      <c r="B294" t="s">
        <v>11</v>
      </c>
      <c r="C294" t="s">
        <v>12</v>
      </c>
      <c r="D294" t="s">
        <v>29</v>
      </c>
      <c r="E294" t="s">
        <v>30</v>
      </c>
      <c r="F294" t="s">
        <v>105</v>
      </c>
      <c r="G294" t="s">
        <v>114</v>
      </c>
      <c r="H294" t="s">
        <v>152</v>
      </c>
      <c r="I294"/>
      <c r="J294"/>
      <c r="K294" t="s">
        <v>3565</v>
      </c>
      <c r="L294">
        <v>61016</v>
      </c>
      <c r="M294" t="s">
        <v>2611</v>
      </c>
    </row>
    <row r="295" spans="1:13" ht="15" x14ac:dyDescent="0.25">
      <c r="A295" t="s">
        <v>2192</v>
      </c>
      <c r="B295" t="s">
        <v>11</v>
      </c>
      <c r="C295" t="s">
        <v>12</v>
      </c>
      <c r="D295" t="s">
        <v>101</v>
      </c>
      <c r="E295" t="s">
        <v>1427</v>
      </c>
      <c r="F295"/>
      <c r="G295" t="s">
        <v>1427</v>
      </c>
      <c r="H295"/>
      <c r="I295"/>
      <c r="J295"/>
      <c r="K295" t="s">
        <v>3566</v>
      </c>
      <c r="L295">
        <v>6428573</v>
      </c>
      <c r="M295" t="s">
        <v>2612</v>
      </c>
    </row>
    <row r="296" spans="1:13" ht="15" x14ac:dyDescent="0.25">
      <c r="A296" t="s">
        <v>2171</v>
      </c>
      <c r="B296" t="s">
        <v>11</v>
      </c>
      <c r="C296" t="s">
        <v>12</v>
      </c>
      <c r="D296" t="s">
        <v>24</v>
      </c>
      <c r="E296" t="s">
        <v>54</v>
      </c>
      <c r="F296" t="s">
        <v>55</v>
      </c>
      <c r="G296" t="s">
        <v>58</v>
      </c>
      <c r="H296"/>
      <c r="I296"/>
      <c r="J296"/>
      <c r="K296" t="s">
        <v>3567</v>
      </c>
      <c r="L296">
        <v>6549</v>
      </c>
      <c r="M296" t="s">
        <v>2309</v>
      </c>
    </row>
    <row r="297" spans="1:13" ht="15" x14ac:dyDescent="0.25">
      <c r="A297" t="s">
        <v>1255</v>
      </c>
      <c r="B297" t="s">
        <v>11</v>
      </c>
      <c r="C297" t="s">
        <v>12</v>
      </c>
      <c r="D297" t="s">
        <v>24</v>
      </c>
      <c r="E297" t="s">
        <v>54</v>
      </c>
      <c r="F297" t="s">
        <v>55</v>
      </c>
      <c r="G297" t="s">
        <v>97</v>
      </c>
      <c r="H297"/>
      <c r="I297"/>
      <c r="J297"/>
      <c r="K297" t="s">
        <v>3568</v>
      </c>
      <c r="L297">
        <v>5319363</v>
      </c>
      <c r="M297" t="s">
        <v>2613</v>
      </c>
    </row>
    <row r="298" spans="1:13" ht="15" x14ac:dyDescent="0.25">
      <c r="A298" t="s">
        <v>1972</v>
      </c>
      <c r="B298" t="s">
        <v>11</v>
      </c>
      <c r="C298" t="s">
        <v>12</v>
      </c>
      <c r="D298" t="s">
        <v>24</v>
      </c>
      <c r="E298" t="s">
        <v>54</v>
      </c>
      <c r="F298" t="s">
        <v>55</v>
      </c>
      <c r="G298" t="s">
        <v>97</v>
      </c>
      <c r="H298"/>
      <c r="I298"/>
      <c r="J298"/>
      <c r="K298" t="s">
        <v>3569</v>
      </c>
      <c r="L298">
        <v>111274</v>
      </c>
      <c r="M298" t="s">
        <v>2613</v>
      </c>
    </row>
    <row r="299" spans="1:13" ht="15" x14ac:dyDescent="0.25">
      <c r="A299" t="s">
        <v>1961</v>
      </c>
      <c r="B299" t="s">
        <v>11</v>
      </c>
      <c r="C299" t="s">
        <v>12</v>
      </c>
      <c r="D299" t="s">
        <v>24</v>
      </c>
      <c r="E299" t="s">
        <v>54</v>
      </c>
      <c r="F299" t="s">
        <v>55</v>
      </c>
      <c r="G299" t="s">
        <v>97</v>
      </c>
      <c r="H299"/>
      <c r="I299"/>
      <c r="J299"/>
      <c r="K299" t="s">
        <v>3570</v>
      </c>
      <c r="L299">
        <v>155626</v>
      </c>
      <c r="M299" t="s">
        <v>2613</v>
      </c>
    </row>
    <row r="300" spans="1:13" ht="15" x14ac:dyDescent="0.25">
      <c r="A300" t="s">
        <v>1940</v>
      </c>
      <c r="B300" t="s">
        <v>11</v>
      </c>
      <c r="C300" t="s">
        <v>12</v>
      </c>
      <c r="D300" t="s">
        <v>24</v>
      </c>
      <c r="E300" t="s">
        <v>54</v>
      </c>
      <c r="F300" t="s">
        <v>55</v>
      </c>
      <c r="G300" t="s">
        <v>56</v>
      </c>
      <c r="H300"/>
      <c r="I300"/>
      <c r="J300"/>
      <c r="K300" t="s">
        <v>3571</v>
      </c>
      <c r="L300">
        <v>64685</v>
      </c>
      <c r="M300" t="s">
        <v>733</v>
      </c>
    </row>
    <row r="301" spans="1:13" ht="15" x14ac:dyDescent="0.25">
      <c r="A301" t="s">
        <v>2188</v>
      </c>
      <c r="B301" t="s">
        <v>11</v>
      </c>
      <c r="C301" t="s">
        <v>12</v>
      </c>
      <c r="D301" t="s">
        <v>24</v>
      </c>
      <c r="E301" t="s">
        <v>54</v>
      </c>
      <c r="F301" t="s">
        <v>55</v>
      </c>
      <c r="G301" t="s">
        <v>56</v>
      </c>
      <c r="H301"/>
      <c r="I301"/>
      <c r="J301"/>
      <c r="K301" t="s">
        <v>3572</v>
      </c>
      <c r="L301">
        <v>6552009</v>
      </c>
      <c r="M301" t="s">
        <v>733</v>
      </c>
    </row>
    <row r="302" spans="1:13" ht="15" x14ac:dyDescent="0.25">
      <c r="A302" t="s">
        <v>2191</v>
      </c>
      <c r="B302" t="s">
        <v>11</v>
      </c>
      <c r="C302" t="s">
        <v>12</v>
      </c>
      <c r="D302" t="s">
        <v>24</v>
      </c>
      <c r="E302" t="s">
        <v>54</v>
      </c>
      <c r="F302" t="s">
        <v>55</v>
      </c>
      <c r="G302" t="s">
        <v>56</v>
      </c>
      <c r="H302"/>
      <c r="I302"/>
      <c r="J302"/>
      <c r="K302" t="s">
        <v>3573</v>
      </c>
      <c r="L302">
        <v>1201518</v>
      </c>
      <c r="M302" t="s">
        <v>733</v>
      </c>
    </row>
    <row r="303" spans="1:13" ht="15" x14ac:dyDescent="0.25">
      <c r="A303" t="s">
        <v>1943</v>
      </c>
      <c r="B303" t="s">
        <v>11</v>
      </c>
      <c r="C303" t="s">
        <v>12</v>
      </c>
      <c r="D303" t="s">
        <v>24</v>
      </c>
      <c r="E303" t="s">
        <v>54</v>
      </c>
      <c r="F303" t="s">
        <v>55</v>
      </c>
      <c r="G303" t="s">
        <v>56</v>
      </c>
      <c r="H303"/>
      <c r="I303"/>
      <c r="J303"/>
      <c r="K303" t="s">
        <v>3574</v>
      </c>
      <c r="L303">
        <v>10492</v>
      </c>
      <c r="M303" t="s">
        <v>733</v>
      </c>
    </row>
    <row r="304" spans="1:13" ht="15" x14ac:dyDescent="0.25">
      <c r="A304" t="s">
        <v>2186</v>
      </c>
      <c r="B304" t="s">
        <v>11</v>
      </c>
      <c r="C304" t="s">
        <v>12</v>
      </c>
      <c r="D304" t="s">
        <v>24</v>
      </c>
      <c r="E304" t="s">
        <v>54</v>
      </c>
      <c r="F304" t="s">
        <v>55</v>
      </c>
      <c r="G304" t="s">
        <v>56</v>
      </c>
      <c r="H304"/>
      <c r="I304"/>
      <c r="J304"/>
      <c r="K304" t="s">
        <v>3575</v>
      </c>
      <c r="L304">
        <v>657014</v>
      </c>
      <c r="M304" t="s">
        <v>733</v>
      </c>
    </row>
    <row r="305" spans="1:13" ht="15" x14ac:dyDescent="0.25">
      <c r="A305" t="s">
        <v>135</v>
      </c>
      <c r="B305" t="s">
        <v>11</v>
      </c>
      <c r="C305" t="s">
        <v>12</v>
      </c>
      <c r="D305" t="s">
        <v>24</v>
      </c>
      <c r="E305" t="s">
        <v>54</v>
      </c>
      <c r="F305" t="s">
        <v>55</v>
      </c>
      <c r="G305" t="s">
        <v>56</v>
      </c>
      <c r="H305"/>
      <c r="I305"/>
      <c r="J305"/>
      <c r="K305" t="s">
        <v>3576</v>
      </c>
      <c r="L305">
        <v>44630107</v>
      </c>
      <c r="M305" t="s">
        <v>733</v>
      </c>
    </row>
    <row r="306" spans="1:13" ht="15" x14ac:dyDescent="0.25">
      <c r="A306" t="s">
        <v>1944</v>
      </c>
      <c r="B306" t="s">
        <v>11</v>
      </c>
      <c r="C306" t="s">
        <v>12</v>
      </c>
      <c r="D306" t="s">
        <v>24</v>
      </c>
      <c r="E306" t="s">
        <v>54</v>
      </c>
      <c r="F306" t="s">
        <v>55</v>
      </c>
      <c r="G306" t="s">
        <v>56</v>
      </c>
      <c r="H306"/>
      <c r="I306"/>
      <c r="J306"/>
      <c r="K306" t="s">
        <v>3577</v>
      </c>
      <c r="L306">
        <v>10049</v>
      </c>
      <c r="M306" t="s">
        <v>733</v>
      </c>
    </row>
    <row r="307" spans="1:13" ht="15" x14ac:dyDescent="0.25">
      <c r="A307" t="s">
        <v>2179</v>
      </c>
      <c r="B307" t="s">
        <v>11</v>
      </c>
      <c r="C307" t="s">
        <v>12</v>
      </c>
      <c r="D307" t="s">
        <v>24</v>
      </c>
      <c r="E307" t="s">
        <v>54</v>
      </c>
      <c r="F307" t="s">
        <v>55</v>
      </c>
      <c r="G307" t="s">
        <v>56</v>
      </c>
      <c r="H307"/>
      <c r="I307"/>
      <c r="J307"/>
      <c r="K307" t="s">
        <v>3578</v>
      </c>
      <c r="L307">
        <v>439569</v>
      </c>
      <c r="M307" t="s">
        <v>733</v>
      </c>
    </row>
    <row r="308" spans="1:13" ht="15" x14ac:dyDescent="0.25">
      <c r="A308" t="s">
        <v>698</v>
      </c>
      <c r="B308" t="s">
        <v>11</v>
      </c>
      <c r="C308" t="s">
        <v>12</v>
      </c>
      <c r="D308" t="s">
        <v>36</v>
      </c>
      <c r="E308" t="s">
        <v>44</v>
      </c>
      <c r="F308" t="s">
        <v>699</v>
      </c>
      <c r="G308" t="s">
        <v>699</v>
      </c>
      <c r="H308"/>
      <c r="I308"/>
      <c r="J308"/>
      <c r="K308" t="s">
        <v>3579</v>
      </c>
      <c r="L308">
        <v>14529</v>
      </c>
      <c r="M308" t="s">
        <v>2614</v>
      </c>
    </row>
    <row r="309" spans="1:13" ht="15" x14ac:dyDescent="0.25">
      <c r="A309" t="s">
        <v>1048</v>
      </c>
      <c r="B309" t="s">
        <v>11</v>
      </c>
      <c r="C309" t="s">
        <v>12</v>
      </c>
      <c r="D309" t="s">
        <v>24</v>
      </c>
      <c r="E309" t="s">
        <v>54</v>
      </c>
      <c r="F309" t="s">
        <v>55</v>
      </c>
      <c r="G309" t="s">
        <v>56</v>
      </c>
      <c r="H309"/>
      <c r="I309"/>
      <c r="J309"/>
      <c r="K309" t="s">
        <v>3580</v>
      </c>
      <c r="L309">
        <v>29025</v>
      </c>
      <c r="M309" t="s">
        <v>1141</v>
      </c>
    </row>
    <row r="310" spans="1:13" ht="15" x14ac:dyDescent="0.25">
      <c r="A310" t="s">
        <v>2290</v>
      </c>
      <c r="B310" t="s">
        <v>11</v>
      </c>
      <c r="C310" t="s">
        <v>12</v>
      </c>
      <c r="D310" t="s">
        <v>24</v>
      </c>
      <c r="E310" t="s">
        <v>54</v>
      </c>
      <c r="F310" t="s">
        <v>55</v>
      </c>
      <c r="G310" t="s">
        <v>56</v>
      </c>
      <c r="H310"/>
      <c r="I310"/>
      <c r="J310"/>
      <c r="K310" t="s">
        <v>3581</v>
      </c>
      <c r="L310">
        <v>65724</v>
      </c>
      <c r="M310" t="s">
        <v>1141</v>
      </c>
    </row>
    <row r="311" spans="1:13" ht="15" x14ac:dyDescent="0.25">
      <c r="A311" t="s">
        <v>1049</v>
      </c>
      <c r="B311" t="s">
        <v>11</v>
      </c>
      <c r="C311" t="s">
        <v>12</v>
      </c>
      <c r="D311" t="s">
        <v>24</v>
      </c>
      <c r="E311" t="s">
        <v>54</v>
      </c>
      <c r="F311" t="s">
        <v>55</v>
      </c>
      <c r="G311" t="s">
        <v>56</v>
      </c>
      <c r="H311"/>
      <c r="I311"/>
      <c r="J311"/>
      <c r="K311" t="s">
        <v>3582</v>
      </c>
      <c r="L311">
        <v>92874</v>
      </c>
      <c r="M311" t="s">
        <v>1141</v>
      </c>
    </row>
    <row r="312" spans="1:13" ht="15" x14ac:dyDescent="0.25">
      <c r="A312" t="s">
        <v>905</v>
      </c>
      <c r="B312" t="s">
        <v>11</v>
      </c>
      <c r="C312" t="s">
        <v>12</v>
      </c>
      <c r="D312" t="s">
        <v>24</v>
      </c>
      <c r="E312" t="s">
        <v>54</v>
      </c>
      <c r="F312" t="s">
        <v>55</v>
      </c>
      <c r="G312" t="s">
        <v>56</v>
      </c>
      <c r="H312"/>
      <c r="I312"/>
      <c r="J312"/>
      <c r="K312" t="s">
        <v>3583</v>
      </c>
      <c r="L312">
        <v>6973628</v>
      </c>
      <c r="M312" t="s">
        <v>1141</v>
      </c>
    </row>
    <row r="313" spans="1:13" ht="15" x14ac:dyDescent="0.25">
      <c r="A313" t="s">
        <v>2172</v>
      </c>
      <c r="B313" t="s">
        <v>11</v>
      </c>
      <c r="C313" t="s">
        <v>12</v>
      </c>
      <c r="D313" t="s">
        <v>24</v>
      </c>
      <c r="E313" t="s">
        <v>54</v>
      </c>
      <c r="F313" t="s">
        <v>55</v>
      </c>
      <c r="G313" t="s">
        <v>58</v>
      </c>
      <c r="H313"/>
      <c r="I313"/>
      <c r="J313"/>
      <c r="K313" t="s">
        <v>3584</v>
      </c>
      <c r="L313">
        <v>643779</v>
      </c>
      <c r="M313" t="s">
        <v>2310</v>
      </c>
    </row>
    <row r="314" spans="1:13" ht="15" x14ac:dyDescent="0.25">
      <c r="A314" t="s">
        <v>57</v>
      </c>
      <c r="B314" t="s">
        <v>11</v>
      </c>
      <c r="C314" t="s">
        <v>12</v>
      </c>
      <c r="D314" t="s">
        <v>24</v>
      </c>
      <c r="E314" t="s">
        <v>54</v>
      </c>
      <c r="F314" t="s">
        <v>55</v>
      </c>
      <c r="G314" t="s">
        <v>58</v>
      </c>
      <c r="H314"/>
      <c r="I314"/>
      <c r="J314"/>
      <c r="K314" t="s">
        <v>3585</v>
      </c>
      <c r="L314">
        <v>637566</v>
      </c>
      <c r="M314" t="s">
        <v>724</v>
      </c>
    </row>
    <row r="315" spans="1:13" ht="15" x14ac:dyDescent="0.25">
      <c r="A315" t="s">
        <v>1968</v>
      </c>
      <c r="B315" t="s">
        <v>11</v>
      </c>
      <c r="C315" t="s">
        <v>12</v>
      </c>
      <c r="D315" t="s">
        <v>24</v>
      </c>
      <c r="E315" t="s">
        <v>54</v>
      </c>
      <c r="F315" t="s">
        <v>55</v>
      </c>
      <c r="G315" t="s">
        <v>97</v>
      </c>
      <c r="H315"/>
      <c r="I315"/>
      <c r="J315"/>
      <c r="K315" t="s">
        <v>3586</v>
      </c>
      <c r="L315">
        <v>6987</v>
      </c>
      <c r="M315" t="s">
        <v>2127</v>
      </c>
    </row>
    <row r="316" spans="1:13" ht="15" x14ac:dyDescent="0.25">
      <c r="A316" t="s">
        <v>2174</v>
      </c>
      <c r="B316" t="s">
        <v>11</v>
      </c>
      <c r="C316" t="s">
        <v>12</v>
      </c>
      <c r="D316" t="s">
        <v>24</v>
      </c>
      <c r="E316" t="s">
        <v>54</v>
      </c>
      <c r="F316" t="s">
        <v>55</v>
      </c>
      <c r="G316" t="s">
        <v>58</v>
      </c>
      <c r="H316"/>
      <c r="I316"/>
      <c r="J316"/>
      <c r="K316" t="s">
        <v>3587</v>
      </c>
      <c r="L316">
        <v>638011</v>
      </c>
      <c r="M316" t="s">
        <v>2615</v>
      </c>
    </row>
    <row r="317" spans="1:13" ht="15" x14ac:dyDescent="0.25">
      <c r="A317" t="s">
        <v>1969</v>
      </c>
      <c r="B317" t="s">
        <v>11</v>
      </c>
      <c r="C317" t="s">
        <v>12</v>
      </c>
      <c r="D317" t="s">
        <v>24</v>
      </c>
      <c r="E317" t="s">
        <v>54</v>
      </c>
      <c r="F317" t="s">
        <v>55</v>
      </c>
      <c r="G317" t="s">
        <v>97</v>
      </c>
      <c r="H317"/>
      <c r="I317"/>
      <c r="J317"/>
      <c r="K317" t="s">
        <v>3588</v>
      </c>
      <c r="L317">
        <v>381152</v>
      </c>
      <c r="M317" t="s">
        <v>2128</v>
      </c>
    </row>
    <row r="318" spans="1:13" ht="15" x14ac:dyDescent="0.25">
      <c r="A318" t="s">
        <v>948</v>
      </c>
      <c r="B318" t="s">
        <v>11</v>
      </c>
      <c r="C318" t="s">
        <v>12</v>
      </c>
      <c r="D318" t="s">
        <v>24</v>
      </c>
      <c r="E318" t="s">
        <v>54</v>
      </c>
      <c r="F318" t="s">
        <v>60</v>
      </c>
      <c r="G318" t="s">
        <v>60</v>
      </c>
      <c r="H318"/>
      <c r="I318"/>
      <c r="J318"/>
      <c r="K318" t="s">
        <v>3589</v>
      </c>
      <c r="L318">
        <v>6429274</v>
      </c>
      <c r="M318" t="s">
        <v>2616</v>
      </c>
    </row>
    <row r="319" spans="1:13" ht="15" x14ac:dyDescent="0.25">
      <c r="A319" t="s">
        <v>932</v>
      </c>
      <c r="B319" t="s">
        <v>11</v>
      </c>
      <c r="C319" t="s">
        <v>12</v>
      </c>
      <c r="D319" t="s">
        <v>24</v>
      </c>
      <c r="E319" t="s">
        <v>54</v>
      </c>
      <c r="F319" t="s">
        <v>60</v>
      </c>
      <c r="G319" t="s">
        <v>933</v>
      </c>
      <c r="H319" t="s">
        <v>934</v>
      </c>
      <c r="I319"/>
      <c r="J319"/>
      <c r="K319" t="s">
        <v>3590</v>
      </c>
      <c r="L319">
        <v>10910653</v>
      </c>
      <c r="M319" t="s">
        <v>1107</v>
      </c>
    </row>
    <row r="320" spans="1:13" ht="15" x14ac:dyDescent="0.25">
      <c r="A320" t="s">
        <v>1415</v>
      </c>
      <c r="B320" t="s">
        <v>11</v>
      </c>
      <c r="C320" t="s">
        <v>12</v>
      </c>
      <c r="D320" t="s">
        <v>24</v>
      </c>
      <c r="E320" t="s">
        <v>54</v>
      </c>
      <c r="F320" t="s">
        <v>60</v>
      </c>
      <c r="G320" t="s">
        <v>60</v>
      </c>
      <c r="H320"/>
      <c r="I320"/>
      <c r="J320"/>
      <c r="K320" t="s">
        <v>3591</v>
      </c>
      <c r="L320">
        <v>6429022</v>
      </c>
      <c r="M320" t="s">
        <v>1551</v>
      </c>
    </row>
    <row r="321" spans="1:13" ht="15" x14ac:dyDescent="0.25">
      <c r="A321" t="s">
        <v>938</v>
      </c>
      <c r="B321" t="s">
        <v>11</v>
      </c>
      <c r="C321" t="s">
        <v>12</v>
      </c>
      <c r="D321" t="s">
        <v>24</v>
      </c>
      <c r="E321" t="s">
        <v>54</v>
      </c>
      <c r="F321" t="s">
        <v>60</v>
      </c>
      <c r="G321" t="s">
        <v>60</v>
      </c>
      <c r="H321"/>
      <c r="I321"/>
      <c r="J321"/>
      <c r="K321" t="s">
        <v>3592</v>
      </c>
      <c r="L321">
        <v>10225</v>
      </c>
      <c r="M321" t="s">
        <v>1109</v>
      </c>
    </row>
    <row r="322" spans="1:13" ht="15" x14ac:dyDescent="0.25">
      <c r="A322" t="s">
        <v>2206</v>
      </c>
      <c r="B322" t="s">
        <v>11</v>
      </c>
      <c r="C322" t="s">
        <v>12</v>
      </c>
      <c r="D322" t="s">
        <v>101</v>
      </c>
      <c r="E322" t="s">
        <v>1427</v>
      </c>
      <c r="F322"/>
      <c r="G322" t="s">
        <v>1427</v>
      </c>
      <c r="H322"/>
      <c r="I322"/>
      <c r="J322"/>
      <c r="K322" t="s">
        <v>3593</v>
      </c>
      <c r="L322">
        <v>14105916</v>
      </c>
      <c r="M322" t="s">
        <v>2322</v>
      </c>
    </row>
    <row r="323" spans="1:13" ht="15" x14ac:dyDescent="0.25">
      <c r="A323" t="s">
        <v>2234</v>
      </c>
      <c r="B323" t="s">
        <v>11</v>
      </c>
      <c r="C323" t="s">
        <v>12</v>
      </c>
      <c r="D323" t="s">
        <v>24</v>
      </c>
      <c r="E323" t="s">
        <v>54</v>
      </c>
      <c r="F323" t="s">
        <v>60</v>
      </c>
      <c r="G323" t="s">
        <v>933</v>
      </c>
      <c r="H323" t="s">
        <v>934</v>
      </c>
      <c r="I323"/>
      <c r="J323"/>
      <c r="K323" t="s">
        <v>3594</v>
      </c>
      <c r="L323">
        <v>92812</v>
      </c>
      <c r="M323" t="s">
        <v>2318</v>
      </c>
    </row>
    <row r="324" spans="1:13" ht="15" x14ac:dyDescent="0.25">
      <c r="A324" t="s">
        <v>2226</v>
      </c>
      <c r="B324" t="s">
        <v>11</v>
      </c>
      <c r="C324" t="s">
        <v>12</v>
      </c>
      <c r="D324" t="s">
        <v>24</v>
      </c>
      <c r="E324" t="s">
        <v>54</v>
      </c>
      <c r="F324" t="s">
        <v>60</v>
      </c>
      <c r="G324" t="s">
        <v>933</v>
      </c>
      <c r="H324" t="s">
        <v>934</v>
      </c>
      <c r="I324"/>
      <c r="J324"/>
      <c r="K324" t="s">
        <v>3595</v>
      </c>
      <c r="L324">
        <v>11074994</v>
      </c>
      <c r="M324" t="s">
        <v>2318</v>
      </c>
    </row>
    <row r="325" spans="1:13" ht="15" x14ac:dyDescent="0.25">
      <c r="A325" t="s">
        <v>2201</v>
      </c>
      <c r="B325" t="s">
        <v>11</v>
      </c>
      <c r="C325" t="s">
        <v>12</v>
      </c>
      <c r="D325" t="s">
        <v>24</v>
      </c>
      <c r="E325" t="s">
        <v>54</v>
      </c>
      <c r="F325" t="s">
        <v>60</v>
      </c>
      <c r="G325" t="s">
        <v>933</v>
      </c>
      <c r="H325" t="s">
        <v>934</v>
      </c>
      <c r="I325"/>
      <c r="J325"/>
      <c r="K325" t="s">
        <v>3596</v>
      </c>
      <c r="L325">
        <v>6432561</v>
      </c>
      <c r="M325" t="s">
        <v>2318</v>
      </c>
    </row>
    <row r="326" spans="1:13" ht="15" x14ac:dyDescent="0.25">
      <c r="A326" t="s">
        <v>2231</v>
      </c>
      <c r="B326" t="s">
        <v>11</v>
      </c>
      <c r="C326" t="s">
        <v>12</v>
      </c>
      <c r="D326" t="s">
        <v>24</v>
      </c>
      <c r="E326" t="s">
        <v>54</v>
      </c>
      <c r="F326" t="s">
        <v>60</v>
      </c>
      <c r="G326" t="s">
        <v>933</v>
      </c>
      <c r="H326" t="s">
        <v>934</v>
      </c>
      <c r="I326"/>
      <c r="J326"/>
      <c r="K326" t="s">
        <v>3597</v>
      </c>
      <c r="L326">
        <v>22297324</v>
      </c>
      <c r="M326" t="s">
        <v>2318</v>
      </c>
    </row>
    <row r="327" spans="1:13" ht="15" x14ac:dyDescent="0.25">
      <c r="A327" t="s">
        <v>953</v>
      </c>
      <c r="B327" t="s">
        <v>11</v>
      </c>
      <c r="C327" t="s">
        <v>12</v>
      </c>
      <c r="D327" t="s">
        <v>24</v>
      </c>
      <c r="E327" t="s">
        <v>54</v>
      </c>
      <c r="F327" t="s">
        <v>60</v>
      </c>
      <c r="G327" t="s">
        <v>933</v>
      </c>
      <c r="H327" t="s">
        <v>934</v>
      </c>
      <c r="I327"/>
      <c r="J327"/>
      <c r="K327" t="s">
        <v>3598</v>
      </c>
      <c r="L327">
        <v>101716</v>
      </c>
      <c r="M327" t="s">
        <v>2318</v>
      </c>
    </row>
    <row r="328" spans="1:13" ht="15" x14ac:dyDescent="0.25">
      <c r="A328" t="s">
        <v>954</v>
      </c>
      <c r="B328" t="s">
        <v>11</v>
      </c>
      <c r="C328" t="s">
        <v>12</v>
      </c>
      <c r="D328" t="s">
        <v>24</v>
      </c>
      <c r="E328" t="s">
        <v>54</v>
      </c>
      <c r="F328" t="s">
        <v>60</v>
      </c>
      <c r="G328" t="s">
        <v>933</v>
      </c>
      <c r="H328" t="s">
        <v>934</v>
      </c>
      <c r="I328"/>
      <c r="J328"/>
      <c r="K328" t="s">
        <v>3599</v>
      </c>
      <c r="L328">
        <v>24944351</v>
      </c>
      <c r="M328" t="s">
        <v>2318</v>
      </c>
    </row>
    <row r="329" spans="1:13" ht="15" x14ac:dyDescent="0.25">
      <c r="A329" t="s">
        <v>2240</v>
      </c>
      <c r="B329" t="s">
        <v>11</v>
      </c>
      <c r="C329" t="s">
        <v>12</v>
      </c>
      <c r="D329" t="s">
        <v>24</v>
      </c>
      <c r="E329" t="s">
        <v>54</v>
      </c>
      <c r="F329" t="s">
        <v>60</v>
      </c>
      <c r="G329" t="s">
        <v>933</v>
      </c>
      <c r="H329" t="s">
        <v>934</v>
      </c>
      <c r="I329"/>
      <c r="J329"/>
      <c r="K329" t="s">
        <v>3600</v>
      </c>
      <c r="L329">
        <v>12304979</v>
      </c>
      <c r="M329" t="s">
        <v>2318</v>
      </c>
    </row>
    <row r="330" spans="1:13" ht="15" x14ac:dyDescent="0.25">
      <c r="A330" t="s">
        <v>1420</v>
      </c>
      <c r="B330" t="s">
        <v>11</v>
      </c>
      <c r="C330" t="s">
        <v>12</v>
      </c>
      <c r="D330" t="s">
        <v>29</v>
      </c>
      <c r="E330" t="s">
        <v>30</v>
      </c>
      <c r="F330" t="s">
        <v>31</v>
      </c>
      <c r="G330" t="s">
        <v>133</v>
      </c>
      <c r="H330"/>
      <c r="I330"/>
      <c r="J330"/>
      <c r="K330" t="s">
        <v>3601</v>
      </c>
      <c r="L330">
        <v>91746499</v>
      </c>
      <c r="M330" t="s">
        <v>1553</v>
      </c>
    </row>
    <row r="331" spans="1:13" ht="15" x14ac:dyDescent="0.25">
      <c r="A331" t="s">
        <v>2238</v>
      </c>
      <c r="B331" t="s">
        <v>11</v>
      </c>
      <c r="C331" t="s">
        <v>12</v>
      </c>
      <c r="D331" t="s">
        <v>24</v>
      </c>
      <c r="E331" t="s">
        <v>54</v>
      </c>
      <c r="F331" t="s">
        <v>55</v>
      </c>
      <c r="G331" t="s">
        <v>97</v>
      </c>
      <c r="H331"/>
      <c r="I331"/>
      <c r="J331"/>
      <c r="K331" t="s">
        <v>3602</v>
      </c>
      <c r="L331">
        <v>6429080</v>
      </c>
      <c r="M331" t="s">
        <v>2331</v>
      </c>
    </row>
    <row r="332" spans="1:13" ht="15" x14ac:dyDescent="0.25">
      <c r="A332" t="s">
        <v>1454</v>
      </c>
      <c r="B332" t="s">
        <v>11</v>
      </c>
      <c r="C332" t="s">
        <v>12</v>
      </c>
      <c r="D332" t="s">
        <v>24</v>
      </c>
      <c r="E332" t="s">
        <v>25</v>
      </c>
      <c r="F332" t="s">
        <v>658</v>
      </c>
      <c r="G332" t="s">
        <v>658</v>
      </c>
      <c r="H332"/>
      <c r="I332"/>
      <c r="J332"/>
      <c r="K332" t="s">
        <v>3603</v>
      </c>
      <c r="L332">
        <v>61416</v>
      </c>
      <c r="M332" t="s">
        <v>2617</v>
      </c>
    </row>
    <row r="333" spans="1:13" ht="15" x14ac:dyDescent="0.25">
      <c r="A333" t="s">
        <v>1013</v>
      </c>
      <c r="B333" t="s">
        <v>11</v>
      </c>
      <c r="C333" t="s">
        <v>12</v>
      </c>
      <c r="D333" t="s">
        <v>24</v>
      </c>
      <c r="E333" t="s">
        <v>54</v>
      </c>
      <c r="F333" t="s">
        <v>60</v>
      </c>
      <c r="G333" t="s">
        <v>60</v>
      </c>
      <c r="H333"/>
      <c r="I333"/>
      <c r="J333"/>
      <c r="K333" t="s">
        <v>3604</v>
      </c>
      <c r="L333">
        <v>519857</v>
      </c>
      <c r="M333" t="s">
        <v>2618</v>
      </c>
    </row>
    <row r="334" spans="1:13" ht="15" x14ac:dyDescent="0.25">
      <c r="A334" t="s">
        <v>2374</v>
      </c>
      <c r="B334" t="s">
        <v>11</v>
      </c>
      <c r="C334" t="s">
        <v>12</v>
      </c>
      <c r="D334" t="s">
        <v>24</v>
      </c>
      <c r="E334" t="s">
        <v>54</v>
      </c>
      <c r="F334" t="s">
        <v>60</v>
      </c>
      <c r="G334" t="s">
        <v>60</v>
      </c>
      <c r="H334"/>
      <c r="I334"/>
      <c r="J334"/>
      <c r="K334" t="s">
        <v>3605</v>
      </c>
      <c r="L334">
        <v>11831045</v>
      </c>
      <c r="M334" t="s">
        <v>2618</v>
      </c>
    </row>
    <row r="335" spans="1:13" ht="15" x14ac:dyDescent="0.25">
      <c r="A335" t="s">
        <v>2222</v>
      </c>
      <c r="B335" t="s">
        <v>11</v>
      </c>
      <c r="C335" t="s">
        <v>12</v>
      </c>
      <c r="D335" t="s">
        <v>24</v>
      </c>
      <c r="E335" t="s">
        <v>54</v>
      </c>
      <c r="F335" t="s">
        <v>60</v>
      </c>
      <c r="G335" t="s">
        <v>60</v>
      </c>
      <c r="H335"/>
      <c r="I335"/>
      <c r="J335"/>
      <c r="K335" t="s">
        <v>3606</v>
      </c>
      <c r="L335">
        <v>10878761</v>
      </c>
      <c r="M335" t="s">
        <v>1115</v>
      </c>
    </row>
    <row r="336" spans="1:13" ht="15" x14ac:dyDescent="0.25">
      <c r="A336" t="s">
        <v>958</v>
      </c>
      <c r="B336" t="s">
        <v>11</v>
      </c>
      <c r="C336" t="s">
        <v>12</v>
      </c>
      <c r="D336" t="s">
        <v>24</v>
      </c>
      <c r="E336" t="s">
        <v>54</v>
      </c>
      <c r="F336" t="s">
        <v>60</v>
      </c>
      <c r="G336" t="s">
        <v>60</v>
      </c>
      <c r="H336"/>
      <c r="I336"/>
      <c r="J336"/>
      <c r="K336" t="s">
        <v>3607</v>
      </c>
      <c r="L336">
        <v>289964</v>
      </c>
      <c r="M336" t="s">
        <v>1115</v>
      </c>
    </row>
    <row r="337" spans="1:13" ht="15" x14ac:dyDescent="0.25">
      <c r="A337" t="s">
        <v>960</v>
      </c>
      <c r="B337" t="s">
        <v>11</v>
      </c>
      <c r="C337" t="s">
        <v>12</v>
      </c>
      <c r="D337" t="s">
        <v>24</v>
      </c>
      <c r="E337" t="s">
        <v>54</v>
      </c>
      <c r="F337" t="s">
        <v>60</v>
      </c>
      <c r="G337" t="s">
        <v>60</v>
      </c>
      <c r="H337"/>
      <c r="I337"/>
      <c r="J337"/>
      <c r="K337" t="s">
        <v>3608</v>
      </c>
      <c r="L337">
        <v>24721116</v>
      </c>
      <c r="M337" t="s">
        <v>1115</v>
      </c>
    </row>
    <row r="338" spans="1:13" ht="15" x14ac:dyDescent="0.25">
      <c r="A338" t="s">
        <v>2233</v>
      </c>
      <c r="B338" t="s">
        <v>11</v>
      </c>
      <c r="C338" t="s">
        <v>12</v>
      </c>
      <c r="D338" t="s">
        <v>24</v>
      </c>
      <c r="E338" t="s">
        <v>54</v>
      </c>
      <c r="F338" t="s">
        <v>60</v>
      </c>
      <c r="G338" t="s">
        <v>60</v>
      </c>
      <c r="H338"/>
      <c r="I338"/>
      <c r="J338"/>
      <c r="K338" t="s">
        <v>3609</v>
      </c>
      <c r="L338">
        <v>10059437</v>
      </c>
      <c r="M338" t="s">
        <v>1115</v>
      </c>
    </row>
    <row r="339" spans="1:13" ht="15" x14ac:dyDescent="0.25">
      <c r="A339" t="s">
        <v>959</v>
      </c>
      <c r="B339" t="s">
        <v>11</v>
      </c>
      <c r="C339" t="s">
        <v>12</v>
      </c>
      <c r="D339" t="s">
        <v>24</v>
      </c>
      <c r="E339" t="s">
        <v>54</v>
      </c>
      <c r="F339" t="s">
        <v>60</v>
      </c>
      <c r="G339" t="s">
        <v>60</v>
      </c>
      <c r="H339"/>
      <c r="I339"/>
      <c r="J339"/>
      <c r="K339" t="s">
        <v>3610</v>
      </c>
      <c r="L339">
        <v>139036143</v>
      </c>
      <c r="M339" t="s">
        <v>1115</v>
      </c>
    </row>
    <row r="340" spans="1:13" ht="15" x14ac:dyDescent="0.25">
      <c r="A340" t="s">
        <v>486</v>
      </c>
      <c r="B340" t="s">
        <v>11</v>
      </c>
      <c r="C340" t="s">
        <v>12</v>
      </c>
      <c r="D340" t="s">
        <v>36</v>
      </c>
      <c r="E340" t="s">
        <v>480</v>
      </c>
      <c r="F340" t="s">
        <v>481</v>
      </c>
      <c r="G340" t="s">
        <v>481</v>
      </c>
      <c r="H340"/>
      <c r="I340"/>
      <c r="J340"/>
      <c r="K340" t="s">
        <v>3611</v>
      </c>
      <c r="L340">
        <v>637563</v>
      </c>
      <c r="M340" t="s">
        <v>2619</v>
      </c>
    </row>
    <row r="341" spans="1:13" ht="15" x14ac:dyDescent="0.25">
      <c r="A341" t="s">
        <v>483</v>
      </c>
      <c r="B341" t="s">
        <v>11</v>
      </c>
      <c r="C341" t="s">
        <v>12</v>
      </c>
      <c r="D341" t="s">
        <v>36</v>
      </c>
      <c r="E341" t="s">
        <v>480</v>
      </c>
      <c r="F341" t="s">
        <v>481</v>
      </c>
      <c r="G341" t="s">
        <v>481</v>
      </c>
      <c r="H341"/>
      <c r="I341"/>
      <c r="J341"/>
      <c r="K341" t="s">
        <v>3612</v>
      </c>
      <c r="L341">
        <v>1549040</v>
      </c>
      <c r="M341" t="s">
        <v>2619</v>
      </c>
    </row>
    <row r="342" spans="1:13" ht="15" x14ac:dyDescent="0.25">
      <c r="A342" t="s">
        <v>1825</v>
      </c>
      <c r="B342" t="s">
        <v>11</v>
      </c>
      <c r="C342" t="s">
        <v>12</v>
      </c>
      <c r="D342" t="s">
        <v>36</v>
      </c>
      <c r="E342" t="s">
        <v>37</v>
      </c>
      <c r="F342" t="s">
        <v>38</v>
      </c>
      <c r="G342" t="s">
        <v>38</v>
      </c>
      <c r="H342"/>
      <c r="I342"/>
      <c r="J342"/>
      <c r="K342" t="s">
        <v>3613</v>
      </c>
      <c r="L342">
        <v>853433</v>
      </c>
      <c r="M342" t="s">
        <v>2620</v>
      </c>
    </row>
    <row r="343" spans="1:13" ht="15" x14ac:dyDescent="0.25">
      <c r="A343" t="s">
        <v>485</v>
      </c>
      <c r="B343" t="s">
        <v>11</v>
      </c>
      <c r="C343" t="s">
        <v>12</v>
      </c>
      <c r="D343" t="s">
        <v>36</v>
      </c>
      <c r="E343" t="s">
        <v>44</v>
      </c>
      <c r="F343" t="s">
        <v>139</v>
      </c>
      <c r="G343" t="s">
        <v>140</v>
      </c>
      <c r="H343"/>
      <c r="I343"/>
      <c r="J343"/>
      <c r="K343" t="s">
        <v>3614</v>
      </c>
      <c r="L343">
        <v>1549045</v>
      </c>
      <c r="M343" t="s">
        <v>2621</v>
      </c>
    </row>
    <row r="344" spans="1:13" ht="15" x14ac:dyDescent="0.25">
      <c r="A344" t="s">
        <v>1315</v>
      </c>
      <c r="B344" t="s">
        <v>11</v>
      </c>
      <c r="C344" t="s">
        <v>12</v>
      </c>
      <c r="D344" t="s">
        <v>29</v>
      </c>
      <c r="E344" t="s">
        <v>30</v>
      </c>
      <c r="F344" t="s">
        <v>105</v>
      </c>
      <c r="G344" t="s">
        <v>106</v>
      </c>
      <c r="H344" t="s">
        <v>1020</v>
      </c>
      <c r="I344"/>
      <c r="J344"/>
      <c r="K344" t="s">
        <v>3615</v>
      </c>
      <c r="L344">
        <v>14265</v>
      </c>
      <c r="M344" t="s">
        <v>1522</v>
      </c>
    </row>
    <row r="345" spans="1:13" ht="15" x14ac:dyDescent="0.25">
      <c r="A345" t="s">
        <v>1055</v>
      </c>
      <c r="B345" t="s">
        <v>11</v>
      </c>
      <c r="C345" t="s">
        <v>12</v>
      </c>
      <c r="D345" t="s">
        <v>29</v>
      </c>
      <c r="E345" t="s">
        <v>30</v>
      </c>
      <c r="F345" t="s">
        <v>105</v>
      </c>
      <c r="G345" t="s">
        <v>106</v>
      </c>
      <c r="H345"/>
      <c r="I345"/>
      <c r="J345"/>
      <c r="K345" t="s">
        <v>3616</v>
      </c>
      <c r="L345">
        <v>9862</v>
      </c>
      <c r="M345" t="s">
        <v>1143</v>
      </c>
    </row>
    <row r="346" spans="1:13" ht="15" x14ac:dyDescent="0.25">
      <c r="A346" t="s">
        <v>131</v>
      </c>
      <c r="B346" t="s">
        <v>11</v>
      </c>
      <c r="C346" t="s">
        <v>12</v>
      </c>
      <c r="D346" t="s">
        <v>24</v>
      </c>
      <c r="E346" t="s">
        <v>25</v>
      </c>
      <c r="F346" t="s">
        <v>26</v>
      </c>
      <c r="G346" t="s">
        <v>26</v>
      </c>
      <c r="H346"/>
      <c r="I346"/>
      <c r="J346"/>
      <c r="K346" t="s">
        <v>3617</v>
      </c>
      <c r="L346">
        <v>20745</v>
      </c>
      <c r="M346" t="s">
        <v>2622</v>
      </c>
    </row>
    <row r="347" spans="1:13" ht="15" x14ac:dyDescent="0.25">
      <c r="A347" t="s">
        <v>43</v>
      </c>
      <c r="B347" t="s">
        <v>11</v>
      </c>
      <c r="C347" t="s">
        <v>12</v>
      </c>
      <c r="D347" t="s">
        <v>36</v>
      </c>
      <c r="E347" t="s">
        <v>44</v>
      </c>
      <c r="F347" t="s">
        <v>45</v>
      </c>
      <c r="G347" t="s">
        <v>45</v>
      </c>
      <c r="H347"/>
      <c r="I347"/>
      <c r="J347"/>
      <c r="K347" t="s">
        <v>3618</v>
      </c>
      <c r="L347">
        <v>244</v>
      </c>
      <c r="M347" t="s">
        <v>2623</v>
      </c>
    </row>
    <row r="348" spans="1:13" ht="15" x14ac:dyDescent="0.25">
      <c r="A348" t="s">
        <v>1787</v>
      </c>
      <c r="B348" t="s">
        <v>11</v>
      </c>
      <c r="C348" t="s">
        <v>12</v>
      </c>
      <c r="D348" t="s">
        <v>36</v>
      </c>
      <c r="E348" t="s">
        <v>37</v>
      </c>
      <c r="F348" t="s">
        <v>38</v>
      </c>
      <c r="G348" t="s">
        <v>38</v>
      </c>
      <c r="H348"/>
      <c r="I348"/>
      <c r="J348"/>
      <c r="K348" t="s">
        <v>3619</v>
      </c>
      <c r="L348">
        <v>460</v>
      </c>
      <c r="M348" t="s">
        <v>2624</v>
      </c>
    </row>
    <row r="349" spans="1:13" ht="15" x14ac:dyDescent="0.25">
      <c r="A349" t="s">
        <v>621</v>
      </c>
      <c r="B349" t="s">
        <v>11</v>
      </c>
      <c r="C349" t="s">
        <v>12</v>
      </c>
      <c r="D349" t="s">
        <v>29</v>
      </c>
      <c r="E349" t="s">
        <v>30</v>
      </c>
      <c r="F349" t="s">
        <v>105</v>
      </c>
      <c r="G349" t="s">
        <v>158</v>
      </c>
      <c r="H349" t="s">
        <v>622</v>
      </c>
      <c r="I349" t="s">
        <v>623</v>
      </c>
      <c r="J349"/>
      <c r="K349" t="s">
        <v>3620</v>
      </c>
      <c r="L349">
        <v>5370101</v>
      </c>
      <c r="M349" t="s">
        <v>2625</v>
      </c>
    </row>
    <row r="350" spans="1:13" ht="15" x14ac:dyDescent="0.25">
      <c r="A350" t="s">
        <v>104</v>
      </c>
      <c r="B350" t="s">
        <v>11</v>
      </c>
      <c r="C350" t="s">
        <v>12</v>
      </c>
      <c r="D350" t="s">
        <v>36</v>
      </c>
      <c r="E350" t="s">
        <v>44</v>
      </c>
      <c r="F350"/>
      <c r="G350" t="s">
        <v>44</v>
      </c>
      <c r="H350"/>
      <c r="I350"/>
      <c r="J350"/>
      <c r="K350" t="s">
        <v>3621</v>
      </c>
      <c r="L350">
        <v>6054</v>
      </c>
      <c r="M350" t="s">
        <v>2626</v>
      </c>
    </row>
    <row r="351" spans="1:13" ht="15" x14ac:dyDescent="0.25">
      <c r="A351" t="s">
        <v>194</v>
      </c>
      <c r="B351" t="s">
        <v>11</v>
      </c>
      <c r="C351" t="s">
        <v>12</v>
      </c>
      <c r="D351" t="s">
        <v>111</v>
      </c>
      <c r="E351" t="s">
        <v>193</v>
      </c>
      <c r="F351"/>
      <c r="G351" t="s">
        <v>193</v>
      </c>
      <c r="H351"/>
      <c r="I351"/>
      <c r="J351"/>
      <c r="K351" t="s">
        <v>3622</v>
      </c>
      <c r="L351">
        <v>637511</v>
      </c>
      <c r="M351" t="s">
        <v>2627</v>
      </c>
    </row>
    <row r="352" spans="1:13" ht="15" x14ac:dyDescent="0.25">
      <c r="A352" t="s">
        <v>1060</v>
      </c>
      <c r="B352" t="s">
        <v>11</v>
      </c>
      <c r="C352" t="s">
        <v>12</v>
      </c>
      <c r="D352" t="s">
        <v>29</v>
      </c>
      <c r="E352" t="s">
        <v>30</v>
      </c>
      <c r="F352" t="s">
        <v>105</v>
      </c>
      <c r="G352" t="s">
        <v>106</v>
      </c>
      <c r="H352"/>
      <c r="I352"/>
      <c r="J352"/>
      <c r="K352" t="s">
        <v>3623</v>
      </c>
      <c r="L352">
        <v>18027</v>
      </c>
      <c r="M352" t="s">
        <v>1147</v>
      </c>
    </row>
    <row r="353" spans="1:13" ht="15" x14ac:dyDescent="0.25">
      <c r="A353" t="s">
        <v>1059</v>
      </c>
      <c r="B353" t="s">
        <v>11</v>
      </c>
      <c r="C353" t="s">
        <v>12</v>
      </c>
      <c r="D353" t="s">
        <v>29</v>
      </c>
      <c r="E353" t="s">
        <v>30</v>
      </c>
      <c r="F353" t="s">
        <v>105</v>
      </c>
      <c r="G353" t="s">
        <v>106</v>
      </c>
      <c r="H353"/>
      <c r="I353"/>
      <c r="J353"/>
      <c r="K353" t="s">
        <v>3624</v>
      </c>
      <c r="L353">
        <v>69423</v>
      </c>
      <c r="M353" t="s">
        <v>1146</v>
      </c>
    </row>
    <row r="354" spans="1:13" ht="15" x14ac:dyDescent="0.25">
      <c r="A354" t="s">
        <v>1058</v>
      </c>
      <c r="B354" t="s">
        <v>11</v>
      </c>
      <c r="C354" t="s">
        <v>12</v>
      </c>
      <c r="D354" t="s">
        <v>29</v>
      </c>
      <c r="E354" t="s">
        <v>30</v>
      </c>
      <c r="F354" t="s">
        <v>105</v>
      </c>
      <c r="G354" t="s">
        <v>106</v>
      </c>
      <c r="H354"/>
      <c r="I354"/>
      <c r="J354"/>
      <c r="K354" t="s">
        <v>3625</v>
      </c>
      <c r="L354">
        <v>529805</v>
      </c>
      <c r="M354" t="s">
        <v>1145</v>
      </c>
    </row>
    <row r="355" spans="1:13" ht="15" x14ac:dyDescent="0.25">
      <c r="A355" t="s">
        <v>644</v>
      </c>
      <c r="B355" t="s">
        <v>11</v>
      </c>
      <c r="C355" t="s">
        <v>12</v>
      </c>
      <c r="D355" t="s">
        <v>24</v>
      </c>
      <c r="E355" t="s">
        <v>25</v>
      </c>
      <c r="F355" t="s">
        <v>388</v>
      </c>
      <c r="G355" t="s">
        <v>513</v>
      </c>
      <c r="H355"/>
      <c r="I355"/>
      <c r="J355"/>
      <c r="K355" t="s">
        <v>3626</v>
      </c>
      <c r="L355">
        <v>8892</v>
      </c>
      <c r="M355" t="s">
        <v>2628</v>
      </c>
    </row>
    <row r="356" spans="1:13" ht="15" x14ac:dyDescent="0.25">
      <c r="A356" t="s">
        <v>643</v>
      </c>
      <c r="B356" t="s">
        <v>11</v>
      </c>
      <c r="C356" t="s">
        <v>12</v>
      </c>
      <c r="D356" t="s">
        <v>24</v>
      </c>
      <c r="E356" t="s">
        <v>25</v>
      </c>
      <c r="F356" t="s">
        <v>388</v>
      </c>
      <c r="G356" t="s">
        <v>513</v>
      </c>
      <c r="H356"/>
      <c r="I356"/>
      <c r="J356"/>
      <c r="K356" t="s">
        <v>3627</v>
      </c>
      <c r="L356">
        <v>8094</v>
      </c>
      <c r="M356" t="s">
        <v>849</v>
      </c>
    </row>
    <row r="357" spans="1:13" ht="15" x14ac:dyDescent="0.25">
      <c r="A357" t="s">
        <v>512</v>
      </c>
      <c r="B357" t="s">
        <v>11</v>
      </c>
      <c r="C357" t="s">
        <v>12</v>
      </c>
      <c r="D357" t="s">
        <v>24</v>
      </c>
      <c r="E357" t="s">
        <v>25</v>
      </c>
      <c r="F357" t="s">
        <v>388</v>
      </c>
      <c r="G357" t="s">
        <v>513</v>
      </c>
      <c r="H357"/>
      <c r="I357"/>
      <c r="J357"/>
      <c r="K357" t="s">
        <v>3628</v>
      </c>
      <c r="L357">
        <v>379</v>
      </c>
      <c r="M357" t="s">
        <v>2629</v>
      </c>
    </row>
    <row r="358" spans="1:13" ht="15" x14ac:dyDescent="0.25">
      <c r="A358" t="s">
        <v>642</v>
      </c>
      <c r="B358" t="s">
        <v>11</v>
      </c>
      <c r="C358" t="s">
        <v>12</v>
      </c>
      <c r="D358" t="s">
        <v>24</v>
      </c>
      <c r="E358" t="s">
        <v>25</v>
      </c>
      <c r="F358" t="s">
        <v>388</v>
      </c>
      <c r="G358" t="s">
        <v>513</v>
      </c>
      <c r="H358"/>
      <c r="I358"/>
      <c r="J358"/>
      <c r="K358" t="s">
        <v>3629</v>
      </c>
      <c r="L358">
        <v>8158</v>
      </c>
      <c r="M358" t="s">
        <v>2630</v>
      </c>
    </row>
    <row r="359" spans="1:13" ht="15" x14ac:dyDescent="0.25">
      <c r="A359" t="s">
        <v>1814</v>
      </c>
      <c r="B359" t="s">
        <v>11</v>
      </c>
      <c r="C359" t="s">
        <v>12</v>
      </c>
      <c r="D359" t="s">
        <v>36</v>
      </c>
      <c r="E359" t="s">
        <v>44</v>
      </c>
      <c r="F359" t="s">
        <v>370</v>
      </c>
      <c r="G359" t="s">
        <v>1171</v>
      </c>
      <c r="H359" t="s">
        <v>1813</v>
      </c>
      <c r="I359"/>
      <c r="J359"/>
      <c r="K359" t="s">
        <v>3630</v>
      </c>
      <c r="L359">
        <v>61151</v>
      </c>
      <c r="M359" t="s">
        <v>2631</v>
      </c>
    </row>
    <row r="360" spans="1:13" ht="15" x14ac:dyDescent="0.25">
      <c r="A360" t="s">
        <v>1499</v>
      </c>
      <c r="B360" t="s">
        <v>11</v>
      </c>
      <c r="C360" t="s">
        <v>12</v>
      </c>
      <c r="D360" t="s">
        <v>111</v>
      </c>
      <c r="E360" t="s">
        <v>304</v>
      </c>
      <c r="F360" t="s">
        <v>447</v>
      </c>
      <c r="G360" t="s">
        <v>447</v>
      </c>
      <c r="H360"/>
      <c r="I360"/>
      <c r="J360"/>
      <c r="K360" t="s">
        <v>3631</v>
      </c>
      <c r="L360">
        <v>637520</v>
      </c>
      <c r="M360" t="s">
        <v>2632</v>
      </c>
    </row>
    <row r="361" spans="1:13" ht="15" x14ac:dyDescent="0.25">
      <c r="A361" t="s">
        <v>647</v>
      </c>
      <c r="B361" t="s">
        <v>11</v>
      </c>
      <c r="C361" t="s">
        <v>12</v>
      </c>
      <c r="D361" t="s">
        <v>24</v>
      </c>
      <c r="E361" t="s">
        <v>25</v>
      </c>
      <c r="F361" t="s">
        <v>388</v>
      </c>
      <c r="G361" t="s">
        <v>513</v>
      </c>
      <c r="H361"/>
      <c r="I361"/>
      <c r="J361"/>
      <c r="K361" t="s">
        <v>3632</v>
      </c>
      <c r="L361">
        <v>2969</v>
      </c>
      <c r="M361" t="s">
        <v>2633</v>
      </c>
    </row>
    <row r="362" spans="1:13" ht="15" x14ac:dyDescent="0.25">
      <c r="A362" t="s">
        <v>393</v>
      </c>
      <c r="B362" t="s">
        <v>11</v>
      </c>
      <c r="C362" t="s">
        <v>12</v>
      </c>
      <c r="D362" t="s">
        <v>36</v>
      </c>
      <c r="E362" t="s">
        <v>44</v>
      </c>
      <c r="F362" t="s">
        <v>370</v>
      </c>
      <c r="G362" t="s">
        <v>391</v>
      </c>
      <c r="H362"/>
      <c r="I362"/>
      <c r="J362"/>
      <c r="K362" t="s">
        <v>3633</v>
      </c>
      <c r="L362">
        <v>2345</v>
      </c>
      <c r="M362" t="s">
        <v>778</v>
      </c>
    </row>
    <row r="363" spans="1:13" ht="15" x14ac:dyDescent="0.25">
      <c r="A363" t="s">
        <v>390</v>
      </c>
      <c r="B363" t="s">
        <v>11</v>
      </c>
      <c r="C363" t="s">
        <v>12</v>
      </c>
      <c r="D363" t="s">
        <v>36</v>
      </c>
      <c r="E363" t="s">
        <v>44</v>
      </c>
      <c r="F363" t="s">
        <v>370</v>
      </c>
      <c r="G363" t="s">
        <v>391</v>
      </c>
      <c r="H363" t="s">
        <v>392</v>
      </c>
      <c r="I363"/>
      <c r="J363"/>
      <c r="K363" t="s">
        <v>3634</v>
      </c>
      <c r="L363">
        <v>8363</v>
      </c>
      <c r="M363" t="s">
        <v>777</v>
      </c>
    </row>
    <row r="364" spans="1:13" ht="15" x14ac:dyDescent="0.25">
      <c r="A364" t="s">
        <v>992</v>
      </c>
      <c r="B364" t="s">
        <v>11</v>
      </c>
      <c r="C364" t="s">
        <v>12</v>
      </c>
      <c r="D364" t="s">
        <v>228</v>
      </c>
      <c r="E364" t="s">
        <v>229</v>
      </c>
      <c r="F364" t="s">
        <v>230</v>
      </c>
      <c r="G364" t="s">
        <v>230</v>
      </c>
      <c r="H364"/>
      <c r="I364"/>
      <c r="J364"/>
      <c r="K364" t="s">
        <v>3635</v>
      </c>
      <c r="L364">
        <v>8182</v>
      </c>
      <c r="M364" t="s">
        <v>1124</v>
      </c>
    </row>
    <row r="365" spans="1:13" ht="15" x14ac:dyDescent="0.25">
      <c r="A365" t="s">
        <v>873</v>
      </c>
      <c r="B365" t="s">
        <v>11</v>
      </c>
      <c r="C365" t="s">
        <v>12</v>
      </c>
      <c r="D365" t="s">
        <v>228</v>
      </c>
      <c r="E365" t="s">
        <v>229</v>
      </c>
      <c r="F365" t="s">
        <v>230</v>
      </c>
      <c r="G365" t="s">
        <v>230</v>
      </c>
      <c r="H365"/>
      <c r="I365"/>
      <c r="J365"/>
      <c r="K365" t="s">
        <v>3636</v>
      </c>
      <c r="L365">
        <v>12389</v>
      </c>
      <c r="M365" t="s">
        <v>1090</v>
      </c>
    </row>
    <row r="366" spans="1:13" ht="15" x14ac:dyDescent="0.25">
      <c r="A366" t="s">
        <v>720</v>
      </c>
      <c r="B366" t="s">
        <v>11</v>
      </c>
      <c r="C366" t="s">
        <v>12</v>
      </c>
      <c r="D366" t="s">
        <v>228</v>
      </c>
      <c r="E366" t="s">
        <v>229</v>
      </c>
      <c r="F366" t="s">
        <v>230</v>
      </c>
      <c r="G366" t="s">
        <v>230</v>
      </c>
      <c r="H366"/>
      <c r="I366"/>
      <c r="J366"/>
      <c r="K366" t="s">
        <v>3637</v>
      </c>
      <c r="L366">
        <v>12398</v>
      </c>
      <c r="M366" t="s">
        <v>862</v>
      </c>
    </row>
    <row r="367" spans="1:13" ht="15" x14ac:dyDescent="0.25">
      <c r="A367" t="s">
        <v>1793</v>
      </c>
      <c r="B367" t="s">
        <v>11</v>
      </c>
      <c r="C367" t="s">
        <v>12</v>
      </c>
      <c r="D367" t="s">
        <v>111</v>
      </c>
      <c r="E367" t="s">
        <v>304</v>
      </c>
      <c r="F367" t="s">
        <v>305</v>
      </c>
      <c r="G367" t="s">
        <v>382</v>
      </c>
      <c r="H367"/>
      <c r="I367"/>
      <c r="J367"/>
      <c r="K367" t="s">
        <v>3638</v>
      </c>
      <c r="L367">
        <v>9991705</v>
      </c>
      <c r="M367" t="s">
        <v>2634</v>
      </c>
    </row>
    <row r="368" spans="1:13" ht="15" x14ac:dyDescent="0.25">
      <c r="A368" t="s">
        <v>1849</v>
      </c>
      <c r="B368" t="s">
        <v>11</v>
      </c>
      <c r="C368" t="s">
        <v>12</v>
      </c>
      <c r="D368" t="s">
        <v>111</v>
      </c>
      <c r="E368" t="s">
        <v>304</v>
      </c>
      <c r="F368" t="s">
        <v>305</v>
      </c>
      <c r="G368" t="s">
        <v>382</v>
      </c>
      <c r="H368"/>
      <c r="I368"/>
      <c r="J368"/>
      <c r="K368" t="s">
        <v>3639</v>
      </c>
      <c r="L368">
        <v>14237599</v>
      </c>
      <c r="M368" t="s">
        <v>2635</v>
      </c>
    </row>
    <row r="369" spans="1:13" ht="15" x14ac:dyDescent="0.25">
      <c r="A369" t="s">
        <v>185</v>
      </c>
      <c r="B369" t="s">
        <v>11</v>
      </c>
      <c r="C369" t="s">
        <v>12</v>
      </c>
      <c r="D369" t="s">
        <v>36</v>
      </c>
      <c r="E369" t="s">
        <v>37</v>
      </c>
      <c r="F369" t="s">
        <v>38</v>
      </c>
      <c r="G369" t="s">
        <v>38</v>
      </c>
      <c r="H369"/>
      <c r="I369"/>
      <c r="J369"/>
      <c r="K369" t="s">
        <v>3640</v>
      </c>
      <c r="L369">
        <v>1183</v>
      </c>
      <c r="M369" t="s">
        <v>2636</v>
      </c>
    </row>
    <row r="370" spans="1:13" ht="15" x14ac:dyDescent="0.25">
      <c r="A370" t="s">
        <v>1749</v>
      </c>
      <c r="B370" t="s">
        <v>11</v>
      </c>
      <c r="C370" t="s">
        <v>12</v>
      </c>
      <c r="D370" t="s">
        <v>111</v>
      </c>
      <c r="E370" t="s">
        <v>304</v>
      </c>
      <c r="F370" t="s">
        <v>305</v>
      </c>
      <c r="G370" t="s">
        <v>306</v>
      </c>
      <c r="H370"/>
      <c r="I370"/>
      <c r="J370"/>
      <c r="K370" t="s">
        <v>3641</v>
      </c>
      <c r="L370">
        <v>637775</v>
      </c>
      <c r="M370" t="s">
        <v>2061</v>
      </c>
    </row>
    <row r="371" spans="1:13" ht="15" x14ac:dyDescent="0.25">
      <c r="A371" t="s">
        <v>1647</v>
      </c>
      <c r="B371" t="s">
        <v>11</v>
      </c>
      <c r="C371" t="s">
        <v>12</v>
      </c>
      <c r="D371" t="s">
        <v>111</v>
      </c>
      <c r="E371" t="s">
        <v>120</v>
      </c>
      <c r="F371" t="s">
        <v>1226</v>
      </c>
      <c r="G371" t="s">
        <v>1227</v>
      </c>
      <c r="H371"/>
      <c r="I371"/>
      <c r="J371"/>
      <c r="K371" t="s">
        <v>3642</v>
      </c>
      <c r="L371">
        <v>5281654</v>
      </c>
      <c r="M371" t="s">
        <v>2021</v>
      </c>
    </row>
    <row r="372" spans="1:13" ht="15" x14ac:dyDescent="0.25">
      <c r="A372" t="s">
        <v>1874</v>
      </c>
      <c r="B372" t="s">
        <v>11</v>
      </c>
      <c r="C372" t="s">
        <v>12</v>
      </c>
      <c r="D372" t="s">
        <v>36</v>
      </c>
      <c r="E372" t="s">
        <v>44</v>
      </c>
      <c r="F372" t="s">
        <v>370</v>
      </c>
      <c r="G372" t="s">
        <v>384</v>
      </c>
      <c r="H372"/>
      <c r="I372"/>
      <c r="J372"/>
      <c r="K372" t="s">
        <v>3643</v>
      </c>
      <c r="L372">
        <v>72</v>
      </c>
      <c r="M372" t="s">
        <v>2103</v>
      </c>
    </row>
    <row r="373" spans="1:13" ht="15" x14ac:dyDescent="0.25">
      <c r="A373" t="s">
        <v>1691</v>
      </c>
      <c r="B373" t="s">
        <v>11</v>
      </c>
      <c r="C373" t="s">
        <v>12</v>
      </c>
      <c r="D373" t="s">
        <v>36</v>
      </c>
      <c r="E373" t="s">
        <v>44</v>
      </c>
      <c r="F373" t="s">
        <v>370</v>
      </c>
      <c r="G373" t="s">
        <v>384</v>
      </c>
      <c r="H373" t="s">
        <v>1583</v>
      </c>
      <c r="I373" t="s">
        <v>1692</v>
      </c>
      <c r="J373"/>
      <c r="K373" t="s">
        <v>3644</v>
      </c>
      <c r="L373">
        <v>370</v>
      </c>
      <c r="M373" t="s">
        <v>2041</v>
      </c>
    </row>
    <row r="374" spans="1:13" ht="15" x14ac:dyDescent="0.25">
      <c r="A374" t="s">
        <v>316</v>
      </c>
      <c r="B374" t="s">
        <v>11</v>
      </c>
      <c r="C374" t="s">
        <v>12</v>
      </c>
      <c r="D374" t="s">
        <v>36</v>
      </c>
      <c r="E374" t="s">
        <v>44</v>
      </c>
      <c r="F374" t="s">
        <v>139</v>
      </c>
      <c r="G374" t="s">
        <v>140</v>
      </c>
      <c r="H374"/>
      <c r="I374"/>
      <c r="J374"/>
      <c r="K374" t="s">
        <v>3645</v>
      </c>
      <c r="L374">
        <v>61400</v>
      </c>
      <c r="M374" t="s">
        <v>2637</v>
      </c>
    </row>
    <row r="375" spans="1:13" ht="15" x14ac:dyDescent="0.25">
      <c r="A375" t="s">
        <v>915</v>
      </c>
      <c r="B375" t="s">
        <v>11</v>
      </c>
      <c r="C375" t="s">
        <v>12</v>
      </c>
      <c r="D375" t="s">
        <v>24</v>
      </c>
      <c r="E375" t="s">
        <v>54</v>
      </c>
      <c r="F375" t="s">
        <v>60</v>
      </c>
      <c r="G375" t="s">
        <v>60</v>
      </c>
      <c r="H375"/>
      <c r="I375"/>
      <c r="J375"/>
      <c r="K375" t="s">
        <v>3646</v>
      </c>
      <c r="L375">
        <v>92139</v>
      </c>
      <c r="M375" t="s">
        <v>2638</v>
      </c>
    </row>
    <row r="376" spans="1:13" ht="15" x14ac:dyDescent="0.25">
      <c r="A376" t="s">
        <v>136</v>
      </c>
      <c r="B376" t="s">
        <v>11</v>
      </c>
      <c r="C376" t="s">
        <v>12</v>
      </c>
      <c r="D376" t="s">
        <v>36</v>
      </c>
      <c r="E376" t="s">
        <v>44</v>
      </c>
      <c r="F376" t="s">
        <v>137</v>
      </c>
      <c r="G376" t="s">
        <v>137</v>
      </c>
      <c r="H376"/>
      <c r="I376"/>
      <c r="J376"/>
      <c r="K376" t="s">
        <v>3647</v>
      </c>
      <c r="L376">
        <v>240</v>
      </c>
      <c r="M376" t="s">
        <v>2639</v>
      </c>
    </row>
    <row r="377" spans="1:13" ht="15" x14ac:dyDescent="0.25">
      <c r="A377" t="s">
        <v>2225</v>
      </c>
      <c r="B377" t="s">
        <v>11</v>
      </c>
      <c r="C377" t="s">
        <v>12</v>
      </c>
      <c r="D377" t="s">
        <v>24</v>
      </c>
      <c r="E377" t="s">
        <v>54</v>
      </c>
      <c r="F377" t="s">
        <v>60</v>
      </c>
      <c r="G377" t="s">
        <v>60</v>
      </c>
      <c r="H377"/>
      <c r="I377"/>
      <c r="J377"/>
      <c r="K377" t="s">
        <v>3648</v>
      </c>
      <c r="L377">
        <v>227829</v>
      </c>
      <c r="M377" t="s">
        <v>2640</v>
      </c>
    </row>
    <row r="378" spans="1:13" ht="15" x14ac:dyDescent="0.25">
      <c r="A378" t="s">
        <v>695</v>
      </c>
      <c r="B378" t="s">
        <v>11</v>
      </c>
      <c r="C378" t="s">
        <v>12</v>
      </c>
      <c r="D378" t="s">
        <v>36</v>
      </c>
      <c r="E378" t="s">
        <v>44</v>
      </c>
      <c r="F378" t="s">
        <v>696</v>
      </c>
      <c r="G378" t="s">
        <v>697</v>
      </c>
      <c r="H378"/>
      <c r="I378"/>
      <c r="J378"/>
      <c r="K378" t="s">
        <v>3649</v>
      </c>
      <c r="L378">
        <v>7237</v>
      </c>
      <c r="M378" t="s">
        <v>2641</v>
      </c>
    </row>
    <row r="379" spans="1:13" ht="15" x14ac:dyDescent="0.25">
      <c r="A379" t="s">
        <v>884</v>
      </c>
      <c r="B379" t="s">
        <v>11</v>
      </c>
      <c r="C379" t="s">
        <v>12</v>
      </c>
      <c r="D379" t="s">
        <v>36</v>
      </c>
      <c r="E379" t="s">
        <v>44</v>
      </c>
      <c r="F379"/>
      <c r="G379" t="s">
        <v>44</v>
      </c>
      <c r="H379"/>
      <c r="I379"/>
      <c r="J379"/>
      <c r="K379" t="s">
        <v>3650</v>
      </c>
      <c r="L379">
        <v>31234</v>
      </c>
      <c r="M379" t="s">
        <v>2642</v>
      </c>
    </row>
    <row r="380" spans="1:13" ht="15" x14ac:dyDescent="0.25">
      <c r="A380" t="s">
        <v>920</v>
      </c>
      <c r="B380" t="s">
        <v>11</v>
      </c>
      <c r="C380" t="s">
        <v>12</v>
      </c>
      <c r="D380" t="s">
        <v>24</v>
      </c>
      <c r="E380" t="s">
        <v>54</v>
      </c>
      <c r="F380" t="s">
        <v>60</v>
      </c>
      <c r="G380" t="s">
        <v>60</v>
      </c>
      <c r="H380"/>
      <c r="I380"/>
      <c r="J380"/>
      <c r="K380" t="s">
        <v>3651</v>
      </c>
      <c r="L380">
        <v>441005</v>
      </c>
      <c r="M380" t="s">
        <v>2643</v>
      </c>
    </row>
    <row r="381" spans="1:13" ht="15" x14ac:dyDescent="0.25">
      <c r="A381" t="s">
        <v>110</v>
      </c>
      <c r="B381" t="s">
        <v>11</v>
      </c>
      <c r="C381" t="s">
        <v>12</v>
      </c>
      <c r="D381" t="s">
        <v>111</v>
      </c>
      <c r="E381" t="s">
        <v>112</v>
      </c>
      <c r="F381"/>
      <c r="G381" t="s">
        <v>112</v>
      </c>
      <c r="H381"/>
      <c r="I381"/>
      <c r="J381"/>
      <c r="K381" t="s">
        <v>3652</v>
      </c>
      <c r="L381">
        <v>5315892</v>
      </c>
      <c r="M381" t="s">
        <v>2644</v>
      </c>
    </row>
    <row r="382" spans="1:13" ht="15" x14ac:dyDescent="0.25">
      <c r="A382" t="s">
        <v>2375</v>
      </c>
      <c r="B382" t="s">
        <v>11</v>
      </c>
      <c r="C382" t="s">
        <v>12</v>
      </c>
      <c r="D382" t="s">
        <v>29</v>
      </c>
      <c r="E382" t="s">
        <v>30</v>
      </c>
      <c r="F382" t="s">
        <v>31</v>
      </c>
      <c r="G382" t="s">
        <v>399</v>
      </c>
      <c r="H382" t="s">
        <v>400</v>
      </c>
      <c r="I382"/>
      <c r="J382"/>
      <c r="K382" t="s">
        <v>3653</v>
      </c>
      <c r="L382">
        <v>3277971</v>
      </c>
      <c r="M382" t="s">
        <v>2645</v>
      </c>
    </row>
    <row r="383" spans="1:13" ht="15" x14ac:dyDescent="0.25">
      <c r="A383" t="s">
        <v>700</v>
      </c>
      <c r="B383" t="s">
        <v>11</v>
      </c>
      <c r="C383" t="s">
        <v>12</v>
      </c>
      <c r="D383" t="s">
        <v>36</v>
      </c>
      <c r="E383" t="s">
        <v>44</v>
      </c>
      <c r="F383" t="s">
        <v>696</v>
      </c>
      <c r="G383" t="s">
        <v>701</v>
      </c>
      <c r="H383"/>
      <c r="I383"/>
      <c r="J383"/>
      <c r="K383" t="s">
        <v>3654</v>
      </c>
      <c r="L383">
        <v>7809</v>
      </c>
      <c r="M383" t="s">
        <v>2646</v>
      </c>
    </row>
    <row r="384" spans="1:13" ht="15" x14ac:dyDescent="0.25">
      <c r="A384" t="s">
        <v>161</v>
      </c>
      <c r="B384" t="s">
        <v>11</v>
      </c>
      <c r="C384" t="s">
        <v>12</v>
      </c>
      <c r="D384" t="s">
        <v>29</v>
      </c>
      <c r="E384" t="s">
        <v>30</v>
      </c>
      <c r="F384" t="s">
        <v>105</v>
      </c>
      <c r="G384" t="s">
        <v>114</v>
      </c>
      <c r="H384" t="s">
        <v>152</v>
      </c>
      <c r="I384"/>
      <c r="J384"/>
      <c r="K384" t="s">
        <v>3655</v>
      </c>
      <c r="L384">
        <v>454</v>
      </c>
      <c r="M384" t="s">
        <v>2647</v>
      </c>
    </row>
    <row r="385" spans="1:13" ht="15" x14ac:dyDescent="0.25">
      <c r="A385" t="s">
        <v>181</v>
      </c>
      <c r="B385" t="s">
        <v>11</v>
      </c>
      <c r="C385" t="s">
        <v>12</v>
      </c>
      <c r="D385" t="s">
        <v>29</v>
      </c>
      <c r="E385" t="s">
        <v>30</v>
      </c>
      <c r="F385" t="s">
        <v>105</v>
      </c>
      <c r="G385" t="s">
        <v>114</v>
      </c>
      <c r="H385" t="s">
        <v>152</v>
      </c>
      <c r="I385"/>
      <c r="J385"/>
      <c r="K385" t="s">
        <v>3656</v>
      </c>
      <c r="L385">
        <v>8175</v>
      </c>
      <c r="M385" t="s">
        <v>2648</v>
      </c>
    </row>
    <row r="386" spans="1:13" ht="15" x14ac:dyDescent="0.25">
      <c r="A386" t="s">
        <v>182</v>
      </c>
      <c r="B386" t="s">
        <v>11</v>
      </c>
      <c r="C386" t="s">
        <v>12</v>
      </c>
      <c r="D386" t="s">
        <v>29</v>
      </c>
      <c r="E386" t="s">
        <v>30</v>
      </c>
      <c r="F386" t="s">
        <v>105</v>
      </c>
      <c r="G386" t="s">
        <v>114</v>
      </c>
      <c r="H386" t="s">
        <v>152</v>
      </c>
      <c r="I386"/>
      <c r="J386"/>
      <c r="K386" t="s">
        <v>3657</v>
      </c>
      <c r="L386">
        <v>31289</v>
      </c>
      <c r="M386" t="s">
        <v>2649</v>
      </c>
    </row>
    <row r="387" spans="1:13" ht="15" x14ac:dyDescent="0.25">
      <c r="A387" t="s">
        <v>976</v>
      </c>
      <c r="B387" t="s">
        <v>11</v>
      </c>
      <c r="C387" t="s">
        <v>12</v>
      </c>
      <c r="D387" t="s">
        <v>24</v>
      </c>
      <c r="E387" t="s">
        <v>54</v>
      </c>
      <c r="F387" t="s">
        <v>60</v>
      </c>
      <c r="G387" t="s">
        <v>977</v>
      </c>
      <c r="H387"/>
      <c r="I387"/>
      <c r="J387"/>
      <c r="K387" t="s">
        <v>3658</v>
      </c>
      <c r="L387">
        <v>6431015</v>
      </c>
      <c r="M387" t="s">
        <v>2650</v>
      </c>
    </row>
    <row r="388" spans="1:13" ht="15" x14ac:dyDescent="0.25">
      <c r="A388" t="s">
        <v>2211</v>
      </c>
      <c r="B388" t="s">
        <v>11</v>
      </c>
      <c r="C388" t="s">
        <v>12</v>
      </c>
      <c r="D388" t="s">
        <v>24</v>
      </c>
      <c r="E388" t="s">
        <v>54</v>
      </c>
      <c r="F388" t="s">
        <v>60</v>
      </c>
      <c r="G388" t="s">
        <v>977</v>
      </c>
      <c r="H388"/>
      <c r="I388"/>
      <c r="J388"/>
      <c r="K388" t="s">
        <v>3659</v>
      </c>
      <c r="L388">
        <v>442348</v>
      </c>
      <c r="M388" t="s">
        <v>2650</v>
      </c>
    </row>
    <row r="389" spans="1:13" ht="15" x14ac:dyDescent="0.25">
      <c r="A389" t="s">
        <v>2204</v>
      </c>
      <c r="B389" t="s">
        <v>11</v>
      </c>
      <c r="C389" t="s">
        <v>12</v>
      </c>
      <c r="D389" t="s">
        <v>24</v>
      </c>
      <c r="E389" t="s">
        <v>54</v>
      </c>
      <c r="F389" t="s">
        <v>60</v>
      </c>
      <c r="G389" t="s">
        <v>977</v>
      </c>
      <c r="H389"/>
      <c r="I389"/>
      <c r="J389"/>
      <c r="K389" t="s">
        <v>3660</v>
      </c>
      <c r="L389">
        <v>521207</v>
      </c>
      <c r="M389" t="s">
        <v>2650</v>
      </c>
    </row>
    <row r="390" spans="1:13" ht="15" x14ac:dyDescent="0.25">
      <c r="A390" t="s">
        <v>2209</v>
      </c>
      <c r="B390" t="s">
        <v>11</v>
      </c>
      <c r="C390" t="s">
        <v>12</v>
      </c>
      <c r="D390" t="s">
        <v>24</v>
      </c>
      <c r="E390" t="s">
        <v>54</v>
      </c>
      <c r="F390" t="s">
        <v>60</v>
      </c>
      <c r="G390" t="s">
        <v>977</v>
      </c>
      <c r="H390"/>
      <c r="I390"/>
      <c r="J390"/>
      <c r="K390" t="s">
        <v>3661</v>
      </c>
      <c r="L390">
        <v>10878276</v>
      </c>
      <c r="M390" t="s">
        <v>2650</v>
      </c>
    </row>
    <row r="391" spans="1:13" ht="15" x14ac:dyDescent="0.25">
      <c r="A391" t="s">
        <v>2376</v>
      </c>
      <c r="B391" t="s">
        <v>11</v>
      </c>
      <c r="C391" t="s">
        <v>12</v>
      </c>
      <c r="D391" t="s">
        <v>101</v>
      </c>
      <c r="E391" t="s">
        <v>1259</v>
      </c>
      <c r="F391" t="s">
        <v>1260</v>
      </c>
      <c r="G391" t="s">
        <v>2476</v>
      </c>
      <c r="H391"/>
      <c r="I391"/>
      <c r="J391"/>
      <c r="K391" t="s">
        <v>3662</v>
      </c>
      <c r="L391">
        <v>1242246</v>
      </c>
      <c r="M391" t="s">
        <v>2651</v>
      </c>
    </row>
    <row r="392" spans="1:13" ht="15" x14ac:dyDescent="0.25">
      <c r="A392" t="s">
        <v>1909</v>
      </c>
      <c r="B392" t="s">
        <v>11</v>
      </c>
      <c r="C392" t="s">
        <v>12</v>
      </c>
      <c r="D392" t="s">
        <v>36</v>
      </c>
      <c r="E392" t="s">
        <v>37</v>
      </c>
      <c r="F392" t="s">
        <v>1902</v>
      </c>
      <c r="G392" t="s">
        <v>1910</v>
      </c>
      <c r="H392" t="s">
        <v>1911</v>
      </c>
      <c r="I392"/>
      <c r="J392"/>
      <c r="K392" t="s">
        <v>3663</v>
      </c>
      <c r="L392">
        <v>1057</v>
      </c>
      <c r="M392" t="s">
        <v>2652</v>
      </c>
    </row>
    <row r="393" spans="1:13" ht="15" x14ac:dyDescent="0.25">
      <c r="A393" t="s">
        <v>145</v>
      </c>
      <c r="B393" t="s">
        <v>11</v>
      </c>
      <c r="C393" t="s">
        <v>12</v>
      </c>
      <c r="D393" t="s">
        <v>111</v>
      </c>
      <c r="E393" t="s">
        <v>146</v>
      </c>
      <c r="F393" t="s">
        <v>147</v>
      </c>
      <c r="G393" t="s">
        <v>147</v>
      </c>
      <c r="H393"/>
      <c r="I393"/>
      <c r="J393"/>
      <c r="K393" t="s">
        <v>3664</v>
      </c>
      <c r="L393">
        <v>5281855</v>
      </c>
      <c r="M393" t="s">
        <v>2653</v>
      </c>
    </row>
    <row r="394" spans="1:13" ht="15" x14ac:dyDescent="0.25">
      <c r="A394" t="s">
        <v>1694</v>
      </c>
      <c r="B394" t="s">
        <v>11</v>
      </c>
      <c r="C394" t="s">
        <v>12</v>
      </c>
      <c r="D394" t="s">
        <v>111</v>
      </c>
      <c r="E394" t="s">
        <v>304</v>
      </c>
      <c r="F394" t="s">
        <v>305</v>
      </c>
      <c r="G394" t="s">
        <v>382</v>
      </c>
      <c r="H394"/>
      <c r="I394"/>
      <c r="J394"/>
      <c r="K394" t="s">
        <v>3665</v>
      </c>
      <c r="L394">
        <v>5281792</v>
      </c>
      <c r="M394" t="s">
        <v>2654</v>
      </c>
    </row>
    <row r="395" spans="1:13" ht="15" x14ac:dyDescent="0.25">
      <c r="A395" t="s">
        <v>1666</v>
      </c>
      <c r="B395" t="s">
        <v>11</v>
      </c>
      <c r="C395" t="s">
        <v>12</v>
      </c>
      <c r="D395" t="s">
        <v>111</v>
      </c>
      <c r="E395" t="s">
        <v>120</v>
      </c>
      <c r="F395" t="s">
        <v>308</v>
      </c>
      <c r="G395" t="s">
        <v>309</v>
      </c>
      <c r="H395" t="s">
        <v>310</v>
      </c>
      <c r="I395"/>
      <c r="J395"/>
      <c r="K395" t="s">
        <v>3666</v>
      </c>
      <c r="L395">
        <v>45479757</v>
      </c>
      <c r="M395" t="s">
        <v>2655</v>
      </c>
    </row>
    <row r="396" spans="1:13" ht="15" x14ac:dyDescent="0.25">
      <c r="A396" t="s">
        <v>1675</v>
      </c>
      <c r="B396" t="s">
        <v>11</v>
      </c>
      <c r="C396" t="s">
        <v>12</v>
      </c>
      <c r="D396" t="s">
        <v>111</v>
      </c>
      <c r="E396" t="s">
        <v>120</v>
      </c>
      <c r="F396" t="s">
        <v>1226</v>
      </c>
      <c r="G396" t="s">
        <v>1226</v>
      </c>
      <c r="H396"/>
      <c r="I396"/>
      <c r="J396"/>
      <c r="K396" t="s">
        <v>3667</v>
      </c>
      <c r="L396">
        <v>5280445</v>
      </c>
      <c r="M396" t="s">
        <v>2656</v>
      </c>
    </row>
    <row r="397" spans="1:13" ht="15" x14ac:dyDescent="0.25">
      <c r="A397" t="s">
        <v>1737</v>
      </c>
      <c r="B397" t="s">
        <v>11</v>
      </c>
      <c r="C397" t="s">
        <v>12</v>
      </c>
      <c r="D397" t="s">
        <v>111</v>
      </c>
      <c r="E397" t="s">
        <v>304</v>
      </c>
      <c r="F397" t="s">
        <v>305</v>
      </c>
      <c r="G397" t="s">
        <v>382</v>
      </c>
      <c r="H397"/>
      <c r="I397"/>
      <c r="J397"/>
      <c r="K397" t="s">
        <v>3668</v>
      </c>
      <c r="L397">
        <v>717531</v>
      </c>
      <c r="M397" t="s">
        <v>2657</v>
      </c>
    </row>
    <row r="398" spans="1:13" ht="15" x14ac:dyDescent="0.25">
      <c r="A398" t="s">
        <v>712</v>
      </c>
      <c r="B398" t="s">
        <v>11</v>
      </c>
      <c r="C398" t="s">
        <v>12</v>
      </c>
      <c r="D398" t="s">
        <v>24</v>
      </c>
      <c r="E398" t="s">
        <v>54</v>
      </c>
      <c r="F398" t="s">
        <v>55</v>
      </c>
      <c r="G398" t="s">
        <v>97</v>
      </c>
      <c r="H398"/>
      <c r="I398"/>
      <c r="J398"/>
      <c r="K398" t="s">
        <v>3669</v>
      </c>
      <c r="L398">
        <v>440917</v>
      </c>
      <c r="M398" t="s">
        <v>2658</v>
      </c>
    </row>
    <row r="399" spans="1:13" ht="15" x14ac:dyDescent="0.25">
      <c r="A399" t="s">
        <v>2210</v>
      </c>
      <c r="B399" t="s">
        <v>11</v>
      </c>
      <c r="C399" t="s">
        <v>12</v>
      </c>
      <c r="D399" t="s">
        <v>24</v>
      </c>
      <c r="E399" t="s">
        <v>54</v>
      </c>
      <c r="F399" t="s">
        <v>60</v>
      </c>
      <c r="G399" t="s">
        <v>977</v>
      </c>
      <c r="H399"/>
      <c r="I399"/>
      <c r="J399"/>
      <c r="K399" t="s">
        <v>3670</v>
      </c>
      <c r="L399">
        <v>11106485</v>
      </c>
      <c r="M399" t="s">
        <v>2659</v>
      </c>
    </row>
    <row r="400" spans="1:13" ht="15" x14ac:dyDescent="0.25">
      <c r="A400" t="s">
        <v>2215</v>
      </c>
      <c r="B400" t="s">
        <v>11</v>
      </c>
      <c r="C400" t="s">
        <v>12</v>
      </c>
      <c r="D400" t="s">
        <v>24</v>
      </c>
      <c r="E400" t="s">
        <v>54</v>
      </c>
      <c r="F400" t="s">
        <v>60</v>
      </c>
      <c r="G400" t="s">
        <v>60</v>
      </c>
      <c r="H400"/>
      <c r="I400"/>
      <c r="J400"/>
      <c r="K400" t="s">
        <v>3671</v>
      </c>
      <c r="L400">
        <v>1549992</v>
      </c>
      <c r="M400" t="s">
        <v>2660</v>
      </c>
    </row>
    <row r="401" spans="1:13" ht="15" x14ac:dyDescent="0.25">
      <c r="A401" t="s">
        <v>2213</v>
      </c>
      <c r="B401" t="s">
        <v>11</v>
      </c>
      <c r="C401" t="s">
        <v>12</v>
      </c>
      <c r="D401" t="s">
        <v>24</v>
      </c>
      <c r="E401" t="s">
        <v>54</v>
      </c>
      <c r="F401" t="s">
        <v>60</v>
      </c>
      <c r="G401" t="s">
        <v>60</v>
      </c>
      <c r="H401"/>
      <c r="I401"/>
      <c r="J401"/>
      <c r="K401" t="s">
        <v>3672</v>
      </c>
      <c r="L401">
        <v>10586</v>
      </c>
      <c r="M401" t="s">
        <v>2660</v>
      </c>
    </row>
    <row r="402" spans="1:13" ht="15" x14ac:dyDescent="0.25">
      <c r="A402" t="s">
        <v>2214</v>
      </c>
      <c r="B402" t="s">
        <v>11</v>
      </c>
      <c r="C402" t="s">
        <v>12</v>
      </c>
      <c r="D402" t="s">
        <v>24</v>
      </c>
      <c r="E402" t="s">
        <v>54</v>
      </c>
      <c r="F402" t="s">
        <v>60</v>
      </c>
      <c r="G402" t="s">
        <v>60</v>
      </c>
      <c r="H402"/>
      <c r="I402"/>
      <c r="J402"/>
      <c r="K402" t="s">
        <v>3673</v>
      </c>
      <c r="L402">
        <v>442343</v>
      </c>
      <c r="M402" t="s">
        <v>2660</v>
      </c>
    </row>
    <row r="403" spans="1:13" ht="15" x14ac:dyDescent="0.25">
      <c r="A403" t="s">
        <v>2216</v>
      </c>
      <c r="B403" t="s">
        <v>11</v>
      </c>
      <c r="C403" t="s">
        <v>12</v>
      </c>
      <c r="D403" t="s">
        <v>24</v>
      </c>
      <c r="E403" t="s">
        <v>54</v>
      </c>
      <c r="F403" t="s">
        <v>60</v>
      </c>
      <c r="G403" t="s">
        <v>60</v>
      </c>
      <c r="H403"/>
      <c r="I403"/>
      <c r="J403"/>
      <c r="K403" t="s">
        <v>3674</v>
      </c>
      <c r="L403">
        <v>1201551</v>
      </c>
      <c r="M403" t="s">
        <v>2660</v>
      </c>
    </row>
    <row r="404" spans="1:13" ht="15" x14ac:dyDescent="0.25">
      <c r="A404" t="s">
        <v>689</v>
      </c>
      <c r="B404" t="s">
        <v>11</v>
      </c>
      <c r="C404" t="s">
        <v>12</v>
      </c>
      <c r="D404" t="s">
        <v>29</v>
      </c>
      <c r="E404" t="s">
        <v>30</v>
      </c>
      <c r="F404" t="s">
        <v>40</v>
      </c>
      <c r="G404" t="s">
        <v>47</v>
      </c>
      <c r="H404" t="s">
        <v>331</v>
      </c>
      <c r="I404" t="s">
        <v>690</v>
      </c>
      <c r="J404"/>
      <c r="K404" t="s">
        <v>3675</v>
      </c>
      <c r="L404">
        <v>7027</v>
      </c>
      <c r="M404" t="s">
        <v>2661</v>
      </c>
    </row>
    <row r="405" spans="1:13" ht="15" x14ac:dyDescent="0.25">
      <c r="A405" t="s">
        <v>1228</v>
      </c>
      <c r="B405" t="s">
        <v>11</v>
      </c>
      <c r="C405" t="s">
        <v>12</v>
      </c>
      <c r="D405" t="s">
        <v>111</v>
      </c>
      <c r="E405" t="s">
        <v>304</v>
      </c>
      <c r="F405" t="s">
        <v>305</v>
      </c>
      <c r="G405" t="s">
        <v>306</v>
      </c>
      <c r="H405"/>
      <c r="I405"/>
      <c r="J405"/>
      <c r="K405" t="s">
        <v>3676</v>
      </c>
      <c r="L405">
        <v>6440361</v>
      </c>
      <c r="M405" t="s">
        <v>2662</v>
      </c>
    </row>
    <row r="406" spans="1:13" ht="15" x14ac:dyDescent="0.25">
      <c r="A406" t="s">
        <v>1876</v>
      </c>
      <c r="B406" t="s">
        <v>11</v>
      </c>
      <c r="C406" t="s">
        <v>12</v>
      </c>
      <c r="D406" t="s">
        <v>111</v>
      </c>
      <c r="E406" t="s">
        <v>304</v>
      </c>
      <c r="F406" t="s">
        <v>305</v>
      </c>
      <c r="G406" t="s">
        <v>306</v>
      </c>
      <c r="H406"/>
      <c r="I406"/>
      <c r="J406"/>
      <c r="K406" t="s">
        <v>3677</v>
      </c>
      <c r="L406">
        <v>6439717</v>
      </c>
      <c r="M406" t="s">
        <v>2105</v>
      </c>
    </row>
    <row r="407" spans="1:13" ht="15" x14ac:dyDescent="0.25">
      <c r="A407" t="s">
        <v>2377</v>
      </c>
      <c r="B407" t="s">
        <v>11</v>
      </c>
      <c r="C407" t="s">
        <v>12</v>
      </c>
      <c r="D407" t="s">
        <v>36</v>
      </c>
      <c r="E407" t="s">
        <v>44</v>
      </c>
      <c r="F407" t="s">
        <v>2469</v>
      </c>
      <c r="G407" t="s">
        <v>2477</v>
      </c>
      <c r="H407"/>
      <c r="I407"/>
      <c r="J407"/>
      <c r="K407" t="s">
        <v>3678</v>
      </c>
      <c r="L407">
        <v>79599</v>
      </c>
      <c r="M407" t="s">
        <v>2663</v>
      </c>
    </row>
    <row r="408" spans="1:13" ht="15" x14ac:dyDescent="0.25">
      <c r="A408" t="s">
        <v>1672</v>
      </c>
      <c r="B408" t="s">
        <v>11</v>
      </c>
      <c r="C408" t="s">
        <v>12</v>
      </c>
      <c r="D408" t="s">
        <v>111</v>
      </c>
      <c r="E408" t="s">
        <v>120</v>
      </c>
      <c r="F408" t="s">
        <v>1226</v>
      </c>
      <c r="G408" t="s">
        <v>1227</v>
      </c>
      <c r="H408"/>
      <c r="I408"/>
      <c r="J408"/>
      <c r="K408" t="s">
        <v>3679</v>
      </c>
      <c r="L408">
        <v>5393151</v>
      </c>
      <c r="M408" t="s">
        <v>2664</v>
      </c>
    </row>
    <row r="409" spans="1:13" ht="15" x14ac:dyDescent="0.25">
      <c r="A409" t="s">
        <v>124</v>
      </c>
      <c r="B409" t="s">
        <v>11</v>
      </c>
      <c r="C409" t="s">
        <v>12</v>
      </c>
      <c r="D409" t="s">
        <v>111</v>
      </c>
      <c r="E409" t="s">
        <v>120</v>
      </c>
      <c r="F409" t="s">
        <v>121</v>
      </c>
      <c r="G409" t="s">
        <v>122</v>
      </c>
      <c r="H409" t="s">
        <v>123</v>
      </c>
      <c r="I409"/>
      <c r="J409"/>
      <c r="K409" t="s">
        <v>3680</v>
      </c>
      <c r="L409">
        <v>442410</v>
      </c>
      <c r="M409" t="s">
        <v>2665</v>
      </c>
    </row>
    <row r="410" spans="1:13" ht="15" x14ac:dyDescent="0.25">
      <c r="A410" t="s">
        <v>586</v>
      </c>
      <c r="B410" t="s">
        <v>11</v>
      </c>
      <c r="C410" t="s">
        <v>12</v>
      </c>
      <c r="D410" t="s">
        <v>24</v>
      </c>
      <c r="E410" t="s">
        <v>25</v>
      </c>
      <c r="F410" t="s">
        <v>504</v>
      </c>
      <c r="G410" t="s">
        <v>504</v>
      </c>
      <c r="H410"/>
      <c r="I410"/>
      <c r="J410"/>
      <c r="K410" t="s">
        <v>3681</v>
      </c>
      <c r="L410">
        <v>5312775</v>
      </c>
      <c r="M410" t="s">
        <v>2666</v>
      </c>
    </row>
    <row r="411" spans="1:13" ht="15" x14ac:dyDescent="0.25">
      <c r="A411" t="s">
        <v>1882</v>
      </c>
      <c r="B411" t="s">
        <v>11</v>
      </c>
      <c r="C411" t="s">
        <v>12</v>
      </c>
      <c r="D411" t="s">
        <v>111</v>
      </c>
      <c r="E411" t="s">
        <v>1071</v>
      </c>
      <c r="F411" t="s">
        <v>1721</v>
      </c>
      <c r="G411" t="s">
        <v>1722</v>
      </c>
      <c r="H411"/>
      <c r="I411"/>
      <c r="J411"/>
      <c r="K411" t="s">
        <v>3682</v>
      </c>
      <c r="L411">
        <v>5281708</v>
      </c>
      <c r="M411" t="s">
        <v>2667</v>
      </c>
    </row>
    <row r="412" spans="1:13" ht="15" x14ac:dyDescent="0.25">
      <c r="A412" t="s">
        <v>1858</v>
      </c>
      <c r="B412" t="s">
        <v>11</v>
      </c>
      <c r="C412" t="s">
        <v>12</v>
      </c>
      <c r="D412" t="s">
        <v>111</v>
      </c>
      <c r="E412" t="s">
        <v>120</v>
      </c>
      <c r="F412" t="s">
        <v>121</v>
      </c>
      <c r="G412" t="s">
        <v>1856</v>
      </c>
      <c r="H412" t="s">
        <v>1857</v>
      </c>
      <c r="I412"/>
      <c r="J412"/>
      <c r="K412" t="s">
        <v>3683</v>
      </c>
      <c r="L412">
        <v>639465</v>
      </c>
      <c r="M412" t="s">
        <v>2668</v>
      </c>
    </row>
    <row r="413" spans="1:13" ht="15" x14ac:dyDescent="0.25">
      <c r="A413" t="s">
        <v>2378</v>
      </c>
      <c r="B413" t="s">
        <v>11</v>
      </c>
      <c r="C413" t="s">
        <v>12</v>
      </c>
      <c r="D413" t="s">
        <v>111</v>
      </c>
      <c r="E413" t="s">
        <v>304</v>
      </c>
      <c r="F413" t="s">
        <v>305</v>
      </c>
      <c r="G413" t="s">
        <v>382</v>
      </c>
      <c r="H413"/>
      <c r="I413"/>
      <c r="J413"/>
      <c r="K413" t="s">
        <v>3684</v>
      </c>
      <c r="L413">
        <v>16848</v>
      </c>
      <c r="M413" t="s">
        <v>2669</v>
      </c>
    </row>
    <row r="414" spans="1:13" ht="15" x14ac:dyDescent="0.25">
      <c r="A414" t="s">
        <v>1689</v>
      </c>
      <c r="B414" t="s">
        <v>11</v>
      </c>
      <c r="C414" t="s">
        <v>12</v>
      </c>
      <c r="D414" t="s">
        <v>36</v>
      </c>
      <c r="E414" t="s">
        <v>44</v>
      </c>
      <c r="F414" t="s">
        <v>370</v>
      </c>
      <c r="G414" t="s">
        <v>1171</v>
      </c>
      <c r="H414" t="s">
        <v>1172</v>
      </c>
      <c r="I414"/>
      <c r="J414"/>
      <c r="K414" t="s">
        <v>3685</v>
      </c>
      <c r="L414">
        <v>8468</v>
      </c>
      <c r="M414" t="s">
        <v>2040</v>
      </c>
    </row>
    <row r="415" spans="1:13" ht="15" x14ac:dyDescent="0.25">
      <c r="A415" t="s">
        <v>1582</v>
      </c>
      <c r="B415" t="s">
        <v>11</v>
      </c>
      <c r="C415" t="s">
        <v>12</v>
      </c>
      <c r="D415" t="s">
        <v>36</v>
      </c>
      <c r="E415" t="s">
        <v>44</v>
      </c>
      <c r="F415" t="s">
        <v>370</v>
      </c>
      <c r="G415" t="s">
        <v>384</v>
      </c>
      <c r="H415" t="s">
        <v>1583</v>
      </c>
      <c r="I415"/>
      <c r="J415"/>
      <c r="K415" t="s">
        <v>3686</v>
      </c>
      <c r="L415">
        <v>10742</v>
      </c>
      <c r="M415" t="s">
        <v>2001</v>
      </c>
    </row>
    <row r="416" spans="1:13" ht="15" x14ac:dyDescent="0.25">
      <c r="A416" t="s">
        <v>1431</v>
      </c>
      <c r="B416" t="s">
        <v>11</v>
      </c>
      <c r="C416" t="s">
        <v>12</v>
      </c>
      <c r="D416" t="s">
        <v>111</v>
      </c>
      <c r="E416" t="s">
        <v>167</v>
      </c>
      <c r="F416" t="s">
        <v>1163</v>
      </c>
      <c r="G416" t="s">
        <v>1164</v>
      </c>
      <c r="H416"/>
      <c r="I416"/>
      <c r="J416"/>
      <c r="K416" t="s">
        <v>3687</v>
      </c>
      <c r="L416">
        <v>5281426</v>
      </c>
      <c r="M416" t="s">
        <v>2670</v>
      </c>
    </row>
    <row r="417" spans="1:13" ht="15" x14ac:dyDescent="0.25">
      <c r="A417" t="s">
        <v>1685</v>
      </c>
      <c r="B417" t="s">
        <v>11</v>
      </c>
      <c r="C417" t="s">
        <v>12</v>
      </c>
      <c r="D417" t="s">
        <v>111</v>
      </c>
      <c r="E417" t="s">
        <v>120</v>
      </c>
      <c r="F417" t="s">
        <v>1226</v>
      </c>
      <c r="G417" t="s">
        <v>1227</v>
      </c>
      <c r="H417"/>
      <c r="I417"/>
      <c r="J417"/>
      <c r="K417" t="s">
        <v>3688</v>
      </c>
      <c r="L417">
        <v>5281672</v>
      </c>
      <c r="M417" t="s">
        <v>2038</v>
      </c>
    </row>
    <row r="418" spans="1:13" ht="15" x14ac:dyDescent="0.25">
      <c r="A418" t="s">
        <v>1799</v>
      </c>
      <c r="B418" t="s">
        <v>11</v>
      </c>
      <c r="C418" t="s">
        <v>12</v>
      </c>
      <c r="D418" t="s">
        <v>111</v>
      </c>
      <c r="E418" t="s">
        <v>1364</v>
      </c>
      <c r="F418" t="s">
        <v>1365</v>
      </c>
      <c r="G418" t="s">
        <v>1366</v>
      </c>
      <c r="H418"/>
      <c r="I418"/>
      <c r="J418"/>
      <c r="K418" t="s">
        <v>3689</v>
      </c>
      <c r="L418">
        <v>969516</v>
      </c>
      <c r="M418" t="s">
        <v>2076</v>
      </c>
    </row>
    <row r="419" spans="1:13" ht="15" x14ac:dyDescent="0.25">
      <c r="A419" t="s">
        <v>585</v>
      </c>
      <c r="B419" t="s">
        <v>11</v>
      </c>
      <c r="C419" t="s">
        <v>12</v>
      </c>
      <c r="D419" t="s">
        <v>24</v>
      </c>
      <c r="E419" t="s">
        <v>25</v>
      </c>
      <c r="F419" t="s">
        <v>504</v>
      </c>
      <c r="G419" t="s">
        <v>504</v>
      </c>
      <c r="H419"/>
      <c r="I419"/>
      <c r="J419"/>
      <c r="K419" t="s">
        <v>3690</v>
      </c>
      <c r="L419">
        <v>5312457</v>
      </c>
      <c r="M419" t="s">
        <v>830</v>
      </c>
    </row>
    <row r="420" spans="1:13" ht="15" x14ac:dyDescent="0.25">
      <c r="A420" t="s">
        <v>333</v>
      </c>
      <c r="B420" t="s">
        <v>11</v>
      </c>
      <c r="C420" t="s">
        <v>12</v>
      </c>
      <c r="D420" t="s">
        <v>29</v>
      </c>
      <c r="E420" t="s">
        <v>30</v>
      </c>
      <c r="F420" t="s">
        <v>40</v>
      </c>
      <c r="G420" t="s">
        <v>47</v>
      </c>
      <c r="H420" t="s">
        <v>328</v>
      </c>
      <c r="I420"/>
      <c r="J420"/>
      <c r="K420" t="s">
        <v>3691</v>
      </c>
      <c r="L420">
        <v>11105941</v>
      </c>
      <c r="M420" t="s">
        <v>2671</v>
      </c>
    </row>
    <row r="421" spans="1:13" ht="15" x14ac:dyDescent="0.25">
      <c r="A421" t="s">
        <v>1389</v>
      </c>
      <c r="B421" t="s">
        <v>11</v>
      </c>
      <c r="C421" t="s">
        <v>12</v>
      </c>
      <c r="D421" t="s">
        <v>36</v>
      </c>
      <c r="E421" t="s">
        <v>44</v>
      </c>
      <c r="F421"/>
      <c r="G421" t="s">
        <v>44</v>
      </c>
      <c r="H421"/>
      <c r="I421"/>
      <c r="J421"/>
      <c r="K421" t="s">
        <v>3692</v>
      </c>
      <c r="L421">
        <v>135735550</v>
      </c>
      <c r="M421" t="s">
        <v>1542</v>
      </c>
    </row>
    <row r="422" spans="1:13" ht="15" x14ac:dyDescent="0.25">
      <c r="A422" t="s">
        <v>76</v>
      </c>
      <c r="B422" t="s">
        <v>11</v>
      </c>
      <c r="C422" t="s">
        <v>12</v>
      </c>
      <c r="D422" t="s">
        <v>36</v>
      </c>
      <c r="E422" t="s">
        <v>37</v>
      </c>
      <c r="F422" t="s">
        <v>77</v>
      </c>
      <c r="G422" t="s">
        <v>78</v>
      </c>
      <c r="H422"/>
      <c r="I422"/>
      <c r="J422"/>
      <c r="K422" t="s">
        <v>3693</v>
      </c>
      <c r="L422">
        <v>34661</v>
      </c>
      <c r="M422" t="s">
        <v>2672</v>
      </c>
    </row>
    <row r="423" spans="1:13" ht="15" x14ac:dyDescent="0.25">
      <c r="A423" t="s">
        <v>1320</v>
      </c>
      <c r="B423" t="s">
        <v>11</v>
      </c>
      <c r="C423" t="s">
        <v>12</v>
      </c>
      <c r="D423" t="s">
        <v>36</v>
      </c>
      <c r="E423" t="s">
        <v>1321</v>
      </c>
      <c r="F423"/>
      <c r="G423" t="s">
        <v>1321</v>
      </c>
      <c r="H423"/>
      <c r="I423"/>
      <c r="J423"/>
      <c r="K423" t="s">
        <v>3694</v>
      </c>
      <c r="L423">
        <v>13023</v>
      </c>
      <c r="M423" t="s">
        <v>2673</v>
      </c>
    </row>
    <row r="424" spans="1:13" ht="15" x14ac:dyDescent="0.25">
      <c r="A424" t="s">
        <v>1158</v>
      </c>
      <c r="B424" t="s">
        <v>11</v>
      </c>
      <c r="C424" t="s">
        <v>12</v>
      </c>
      <c r="D424" t="s">
        <v>1070</v>
      </c>
      <c r="E424" t="s">
        <v>1159</v>
      </c>
      <c r="F424" t="s">
        <v>1160</v>
      </c>
      <c r="G424" t="s">
        <v>1160</v>
      </c>
      <c r="H424"/>
      <c r="I424"/>
      <c r="J424"/>
      <c r="K424" t="s">
        <v>3695</v>
      </c>
      <c r="L424">
        <v>17427</v>
      </c>
      <c r="M424" t="s">
        <v>1234</v>
      </c>
    </row>
    <row r="425" spans="1:13" ht="15" x14ac:dyDescent="0.25">
      <c r="A425" t="s">
        <v>247</v>
      </c>
      <c r="B425" t="s">
        <v>11</v>
      </c>
      <c r="C425" t="s">
        <v>12</v>
      </c>
      <c r="D425" t="s">
        <v>36</v>
      </c>
      <c r="E425" t="s">
        <v>44</v>
      </c>
      <c r="F425" t="s">
        <v>248</v>
      </c>
      <c r="G425" t="s">
        <v>248</v>
      </c>
      <c r="H425"/>
      <c r="I425"/>
      <c r="J425"/>
      <c r="K425" t="s">
        <v>3696</v>
      </c>
      <c r="L425">
        <v>10693</v>
      </c>
      <c r="M425" t="s">
        <v>2674</v>
      </c>
    </row>
    <row r="426" spans="1:13" ht="15" x14ac:dyDescent="0.25">
      <c r="A426" t="s">
        <v>472</v>
      </c>
      <c r="B426" t="s">
        <v>11</v>
      </c>
      <c r="C426" t="s">
        <v>12</v>
      </c>
      <c r="D426" t="s">
        <v>101</v>
      </c>
      <c r="E426" t="s">
        <v>313</v>
      </c>
      <c r="F426" t="s">
        <v>314</v>
      </c>
      <c r="G426" t="s">
        <v>470</v>
      </c>
      <c r="H426"/>
      <c r="I426"/>
      <c r="J426"/>
      <c r="K426" t="s">
        <v>3697</v>
      </c>
      <c r="L426">
        <v>667493</v>
      </c>
      <c r="M426" t="s">
        <v>801</v>
      </c>
    </row>
    <row r="427" spans="1:13" ht="15" x14ac:dyDescent="0.25">
      <c r="A427" t="s">
        <v>241</v>
      </c>
      <c r="B427" t="s">
        <v>11</v>
      </c>
      <c r="C427" t="s">
        <v>12</v>
      </c>
      <c r="D427" t="s">
        <v>36</v>
      </c>
      <c r="E427" t="s">
        <v>44</v>
      </c>
      <c r="F427" t="s">
        <v>242</v>
      </c>
      <c r="G427" t="s">
        <v>243</v>
      </c>
      <c r="H427"/>
      <c r="I427"/>
      <c r="J427"/>
      <c r="K427" t="s">
        <v>3698</v>
      </c>
      <c r="L427">
        <v>7813</v>
      </c>
      <c r="M427" t="s">
        <v>746</v>
      </c>
    </row>
    <row r="428" spans="1:13" ht="15" x14ac:dyDescent="0.25">
      <c r="A428" t="s">
        <v>1023</v>
      </c>
      <c r="B428" t="s">
        <v>11</v>
      </c>
      <c r="C428" t="s">
        <v>12</v>
      </c>
      <c r="D428" t="s">
        <v>111</v>
      </c>
      <c r="E428" t="s">
        <v>1024</v>
      </c>
      <c r="F428" t="s">
        <v>1025</v>
      </c>
      <c r="G428" t="s">
        <v>1026</v>
      </c>
      <c r="H428"/>
      <c r="I428"/>
      <c r="J428"/>
      <c r="K428" t="s">
        <v>3699</v>
      </c>
      <c r="L428">
        <v>637760</v>
      </c>
      <c r="M428" t="s">
        <v>1136</v>
      </c>
    </row>
    <row r="429" spans="1:13" ht="15" x14ac:dyDescent="0.25">
      <c r="A429" t="s">
        <v>1768</v>
      </c>
      <c r="B429" t="s">
        <v>11</v>
      </c>
      <c r="C429" t="s">
        <v>12</v>
      </c>
      <c r="D429" t="s">
        <v>36</v>
      </c>
      <c r="E429" t="s">
        <v>44</v>
      </c>
      <c r="F429" t="s">
        <v>45</v>
      </c>
      <c r="G429" t="s">
        <v>45</v>
      </c>
      <c r="H429"/>
      <c r="I429"/>
      <c r="J429"/>
      <c r="K429" t="s">
        <v>3700</v>
      </c>
      <c r="L429">
        <v>2083</v>
      </c>
      <c r="M429" t="s">
        <v>2066</v>
      </c>
    </row>
    <row r="430" spans="1:13" ht="15" x14ac:dyDescent="0.25">
      <c r="A430" t="s">
        <v>1786</v>
      </c>
      <c r="B430" t="s">
        <v>11</v>
      </c>
      <c r="C430" t="s">
        <v>12</v>
      </c>
      <c r="D430" t="s">
        <v>36</v>
      </c>
      <c r="E430" t="s">
        <v>480</v>
      </c>
      <c r="F430" t="s">
        <v>481</v>
      </c>
      <c r="G430" t="s">
        <v>481</v>
      </c>
      <c r="H430"/>
      <c r="I430"/>
      <c r="J430"/>
      <c r="K430" t="s">
        <v>3701</v>
      </c>
      <c r="L430">
        <v>3516</v>
      </c>
      <c r="M430" t="s">
        <v>2074</v>
      </c>
    </row>
    <row r="431" spans="1:13" ht="15" x14ac:dyDescent="0.25">
      <c r="A431" t="s">
        <v>1890</v>
      </c>
      <c r="B431" t="s">
        <v>11</v>
      </c>
      <c r="C431" t="s">
        <v>12</v>
      </c>
      <c r="D431" t="s">
        <v>111</v>
      </c>
      <c r="E431" t="s">
        <v>304</v>
      </c>
      <c r="F431" t="s">
        <v>305</v>
      </c>
      <c r="G431" t="s">
        <v>382</v>
      </c>
      <c r="H431"/>
      <c r="I431"/>
      <c r="J431"/>
      <c r="K431" t="s">
        <v>3702</v>
      </c>
      <c r="L431">
        <v>129738065</v>
      </c>
      <c r="M431" t="s">
        <v>2675</v>
      </c>
    </row>
    <row r="432" spans="1:13" ht="15" x14ac:dyDescent="0.25">
      <c r="A432" t="s">
        <v>1735</v>
      </c>
      <c r="B432" t="s">
        <v>11</v>
      </c>
      <c r="C432" t="s">
        <v>12</v>
      </c>
      <c r="D432" t="s">
        <v>111</v>
      </c>
      <c r="E432" t="s">
        <v>304</v>
      </c>
      <c r="F432" t="s">
        <v>668</v>
      </c>
      <c r="G432" t="s">
        <v>668</v>
      </c>
      <c r="H432"/>
      <c r="I432"/>
      <c r="J432"/>
      <c r="K432" t="s">
        <v>3703</v>
      </c>
      <c r="L432">
        <v>699414</v>
      </c>
      <c r="M432" t="s">
        <v>2056</v>
      </c>
    </row>
    <row r="433" spans="1:13" ht="15" x14ac:dyDescent="0.25">
      <c r="A433" t="s">
        <v>1595</v>
      </c>
      <c r="B433" t="s">
        <v>11</v>
      </c>
      <c r="C433" t="s">
        <v>12</v>
      </c>
      <c r="D433" t="s">
        <v>111</v>
      </c>
      <c r="E433" t="s">
        <v>120</v>
      </c>
      <c r="F433" t="s">
        <v>1592</v>
      </c>
      <c r="G433" t="s">
        <v>1596</v>
      </c>
      <c r="H433"/>
      <c r="I433"/>
      <c r="J433"/>
      <c r="K433" t="s">
        <v>3704</v>
      </c>
      <c r="L433">
        <v>154279</v>
      </c>
      <c r="M433" t="s">
        <v>2006</v>
      </c>
    </row>
    <row r="434" spans="1:13" ht="15" x14ac:dyDescent="0.25">
      <c r="A434" t="s">
        <v>322</v>
      </c>
      <c r="B434" t="s">
        <v>11</v>
      </c>
      <c r="C434" t="s">
        <v>12</v>
      </c>
      <c r="D434" t="s">
        <v>36</v>
      </c>
      <c r="E434" t="s">
        <v>44</v>
      </c>
      <c r="F434" t="s">
        <v>323</v>
      </c>
      <c r="G434" t="s">
        <v>323</v>
      </c>
      <c r="H434"/>
      <c r="I434"/>
      <c r="J434"/>
      <c r="K434" t="s">
        <v>3705</v>
      </c>
      <c r="L434">
        <v>1549512</v>
      </c>
      <c r="M434" t="s">
        <v>1544</v>
      </c>
    </row>
    <row r="435" spans="1:13" ht="15" x14ac:dyDescent="0.25">
      <c r="A435" t="s">
        <v>455</v>
      </c>
      <c r="B435" t="s">
        <v>11</v>
      </c>
      <c r="C435" t="s">
        <v>12</v>
      </c>
      <c r="D435" t="s">
        <v>111</v>
      </c>
      <c r="E435" t="s">
        <v>304</v>
      </c>
      <c r="F435" t="s">
        <v>447</v>
      </c>
      <c r="G435" t="s">
        <v>447</v>
      </c>
      <c r="H435"/>
      <c r="I435"/>
      <c r="J435"/>
      <c r="K435" t="s">
        <v>3706</v>
      </c>
      <c r="L435">
        <v>1550890</v>
      </c>
      <c r="M435" t="s">
        <v>796</v>
      </c>
    </row>
    <row r="436" spans="1:13" ht="15" x14ac:dyDescent="0.25">
      <c r="A436" t="s">
        <v>1836</v>
      </c>
      <c r="B436" t="s">
        <v>11</v>
      </c>
      <c r="C436" t="s">
        <v>12</v>
      </c>
      <c r="D436" t="s">
        <v>111</v>
      </c>
      <c r="E436" t="s">
        <v>304</v>
      </c>
      <c r="F436" t="s">
        <v>447</v>
      </c>
      <c r="G436" t="s">
        <v>447</v>
      </c>
      <c r="H436"/>
      <c r="I436"/>
      <c r="J436"/>
      <c r="K436" t="s">
        <v>3707</v>
      </c>
      <c r="L436">
        <v>5352718</v>
      </c>
      <c r="M436" t="s">
        <v>2087</v>
      </c>
    </row>
    <row r="437" spans="1:13" ht="15" x14ac:dyDescent="0.25">
      <c r="A437" t="s">
        <v>1766</v>
      </c>
      <c r="B437" t="s">
        <v>11</v>
      </c>
      <c r="C437" t="s">
        <v>12</v>
      </c>
      <c r="D437" t="s">
        <v>111</v>
      </c>
      <c r="E437" t="s">
        <v>146</v>
      </c>
      <c r="F437" t="s">
        <v>147</v>
      </c>
      <c r="G437" t="s">
        <v>147</v>
      </c>
      <c r="H437"/>
      <c r="I437"/>
      <c r="J437"/>
      <c r="K437" t="s">
        <v>3708</v>
      </c>
      <c r="L437">
        <v>16129778</v>
      </c>
      <c r="M437" t="s">
        <v>2676</v>
      </c>
    </row>
    <row r="438" spans="1:13" ht="15" x14ac:dyDescent="0.25">
      <c r="A438" t="s">
        <v>1748</v>
      </c>
      <c r="B438" t="s">
        <v>11</v>
      </c>
      <c r="C438" t="s">
        <v>12</v>
      </c>
      <c r="D438" t="s">
        <v>36</v>
      </c>
      <c r="E438" t="s">
        <v>44</v>
      </c>
      <c r="F438" t="s">
        <v>370</v>
      </c>
      <c r="G438" t="s">
        <v>384</v>
      </c>
      <c r="H438" t="s">
        <v>385</v>
      </c>
      <c r="I438" t="s">
        <v>386</v>
      </c>
      <c r="J438"/>
      <c r="K438" t="s">
        <v>3709</v>
      </c>
      <c r="L438">
        <v>338</v>
      </c>
      <c r="M438" t="s">
        <v>2060</v>
      </c>
    </row>
    <row r="439" spans="1:13" ht="15" x14ac:dyDescent="0.25">
      <c r="A439" t="s">
        <v>129</v>
      </c>
      <c r="B439" t="s">
        <v>11</v>
      </c>
      <c r="C439" t="s">
        <v>12</v>
      </c>
      <c r="D439" t="s">
        <v>24</v>
      </c>
      <c r="E439" t="s">
        <v>54</v>
      </c>
      <c r="F439" t="s">
        <v>60</v>
      </c>
      <c r="G439" t="s">
        <v>127</v>
      </c>
      <c r="H439"/>
      <c r="I439"/>
      <c r="J439"/>
      <c r="K439" t="s">
        <v>3710</v>
      </c>
      <c r="L439">
        <v>91457</v>
      </c>
      <c r="M439" t="s">
        <v>2677</v>
      </c>
    </row>
    <row r="440" spans="1:13" ht="15" x14ac:dyDescent="0.25">
      <c r="A440" t="s">
        <v>1322</v>
      </c>
      <c r="B440" t="s">
        <v>11</v>
      </c>
      <c r="C440" t="s">
        <v>12</v>
      </c>
      <c r="D440" t="s">
        <v>24</v>
      </c>
      <c r="E440" t="s">
        <v>54</v>
      </c>
      <c r="F440" t="s">
        <v>60</v>
      </c>
      <c r="G440" t="s">
        <v>60</v>
      </c>
      <c r="H440"/>
      <c r="I440"/>
      <c r="J440"/>
      <c r="K440" t="s">
        <v>3711</v>
      </c>
      <c r="L440">
        <v>90785</v>
      </c>
      <c r="M440" t="s">
        <v>1524</v>
      </c>
    </row>
    <row r="441" spans="1:13" ht="15" x14ac:dyDescent="0.25">
      <c r="A441" t="s">
        <v>2379</v>
      </c>
      <c r="B441" t="s">
        <v>11</v>
      </c>
      <c r="C441" t="s">
        <v>12</v>
      </c>
      <c r="D441" t="s">
        <v>24</v>
      </c>
      <c r="E441" t="s">
        <v>54</v>
      </c>
      <c r="F441" t="s">
        <v>60</v>
      </c>
      <c r="G441" t="s">
        <v>60</v>
      </c>
      <c r="H441"/>
      <c r="I441"/>
      <c r="J441"/>
      <c r="K441" t="s">
        <v>3712</v>
      </c>
      <c r="L441">
        <v>12302134</v>
      </c>
      <c r="M441" t="s">
        <v>1524</v>
      </c>
    </row>
    <row r="442" spans="1:13" ht="15" x14ac:dyDescent="0.25">
      <c r="A442" t="s">
        <v>2380</v>
      </c>
      <c r="B442" t="s">
        <v>11</v>
      </c>
      <c r="C442" t="s">
        <v>12</v>
      </c>
      <c r="D442" t="s">
        <v>24</v>
      </c>
      <c r="E442" t="s">
        <v>54</v>
      </c>
      <c r="F442" t="s">
        <v>60</v>
      </c>
      <c r="G442" t="s">
        <v>60</v>
      </c>
      <c r="H442"/>
      <c r="I442"/>
      <c r="J442"/>
      <c r="K442" t="s">
        <v>3713</v>
      </c>
      <c r="L442">
        <v>6432250</v>
      </c>
      <c r="M442" t="s">
        <v>1524</v>
      </c>
    </row>
    <row r="443" spans="1:13" ht="15" x14ac:dyDescent="0.25">
      <c r="A443" t="s">
        <v>1323</v>
      </c>
      <c r="B443" t="s">
        <v>11</v>
      </c>
      <c r="C443" t="s">
        <v>12</v>
      </c>
      <c r="D443" t="s">
        <v>101</v>
      </c>
      <c r="E443" t="s">
        <v>338</v>
      </c>
      <c r="F443"/>
      <c r="G443" t="s">
        <v>338</v>
      </c>
      <c r="H443"/>
      <c r="I443"/>
      <c r="J443"/>
      <c r="K443" t="s">
        <v>3714</v>
      </c>
      <c r="L443">
        <v>91704727</v>
      </c>
      <c r="M443" t="s">
        <v>2327</v>
      </c>
    </row>
    <row r="444" spans="1:13" ht="15" x14ac:dyDescent="0.25">
      <c r="A444" t="s">
        <v>2258</v>
      </c>
      <c r="B444" t="s">
        <v>11</v>
      </c>
      <c r="C444" t="s">
        <v>12</v>
      </c>
      <c r="D444" t="s">
        <v>24</v>
      </c>
      <c r="E444" t="s">
        <v>54</v>
      </c>
      <c r="F444" t="s">
        <v>60</v>
      </c>
      <c r="G444" t="s">
        <v>127</v>
      </c>
      <c r="H444"/>
      <c r="I444"/>
      <c r="J444"/>
      <c r="K444" t="s">
        <v>3715</v>
      </c>
      <c r="L444">
        <v>165258</v>
      </c>
      <c r="M444" t="s">
        <v>2321</v>
      </c>
    </row>
    <row r="445" spans="1:13" ht="15" x14ac:dyDescent="0.25">
      <c r="A445" t="s">
        <v>596</v>
      </c>
      <c r="B445" t="s">
        <v>11</v>
      </c>
      <c r="C445" t="s">
        <v>12</v>
      </c>
      <c r="D445" t="s">
        <v>24</v>
      </c>
      <c r="E445" t="s">
        <v>25</v>
      </c>
      <c r="F445" t="s">
        <v>489</v>
      </c>
      <c r="G445" t="s">
        <v>489</v>
      </c>
      <c r="H445"/>
      <c r="I445"/>
      <c r="J445"/>
      <c r="K445" t="s">
        <v>3716</v>
      </c>
      <c r="L445">
        <v>5364430</v>
      </c>
      <c r="M445" t="s">
        <v>2678</v>
      </c>
    </row>
    <row r="446" spans="1:13" ht="15" x14ac:dyDescent="0.25">
      <c r="A446" t="s">
        <v>555</v>
      </c>
      <c r="B446" t="s">
        <v>11</v>
      </c>
      <c r="C446" t="s">
        <v>12</v>
      </c>
      <c r="D446" t="s">
        <v>24</v>
      </c>
      <c r="E446" t="s">
        <v>25</v>
      </c>
      <c r="F446" t="s">
        <v>489</v>
      </c>
      <c r="G446" t="s">
        <v>489</v>
      </c>
      <c r="H446"/>
      <c r="I446"/>
      <c r="J446"/>
      <c r="K446" t="s">
        <v>3717</v>
      </c>
      <c r="L446">
        <v>8122</v>
      </c>
      <c r="M446" t="s">
        <v>2679</v>
      </c>
    </row>
    <row r="447" spans="1:13" ht="15" x14ac:dyDescent="0.25">
      <c r="A447" t="s">
        <v>488</v>
      </c>
      <c r="B447" t="s">
        <v>11</v>
      </c>
      <c r="C447" t="s">
        <v>12</v>
      </c>
      <c r="D447" t="s">
        <v>24</v>
      </c>
      <c r="E447" t="s">
        <v>25</v>
      </c>
      <c r="F447" t="s">
        <v>489</v>
      </c>
      <c r="G447" t="s">
        <v>489</v>
      </c>
      <c r="H447"/>
      <c r="I447"/>
      <c r="J447"/>
      <c r="K447" t="s">
        <v>3718</v>
      </c>
      <c r="L447">
        <v>6436624</v>
      </c>
      <c r="M447" t="s">
        <v>2680</v>
      </c>
    </row>
    <row r="448" spans="1:13" ht="15" x14ac:dyDescent="0.25">
      <c r="A448" t="s">
        <v>2381</v>
      </c>
      <c r="B448" t="s">
        <v>11</v>
      </c>
      <c r="C448" t="s">
        <v>12</v>
      </c>
      <c r="D448" t="s">
        <v>24</v>
      </c>
      <c r="E448" t="s">
        <v>25</v>
      </c>
      <c r="F448" t="s">
        <v>489</v>
      </c>
      <c r="G448" t="s">
        <v>489</v>
      </c>
      <c r="H448"/>
      <c r="I448"/>
      <c r="J448"/>
      <c r="K448" t="s">
        <v>3719</v>
      </c>
      <c r="L448">
        <v>5364759</v>
      </c>
      <c r="M448" t="s">
        <v>2680</v>
      </c>
    </row>
    <row r="449" spans="1:13" ht="15" x14ac:dyDescent="0.25">
      <c r="A449" t="s">
        <v>1601</v>
      </c>
      <c r="B449" t="s">
        <v>11</v>
      </c>
      <c r="C449" t="s">
        <v>12</v>
      </c>
      <c r="D449" t="s">
        <v>111</v>
      </c>
      <c r="E449" t="s">
        <v>120</v>
      </c>
      <c r="F449" t="s">
        <v>1592</v>
      </c>
      <c r="G449" t="s">
        <v>1598</v>
      </c>
      <c r="H449"/>
      <c r="I449"/>
      <c r="J449"/>
      <c r="K449" t="s">
        <v>3720</v>
      </c>
      <c r="L449">
        <v>73571</v>
      </c>
      <c r="M449" t="s">
        <v>2681</v>
      </c>
    </row>
    <row r="450" spans="1:13" ht="15" x14ac:dyDescent="0.25">
      <c r="A450" t="s">
        <v>1640</v>
      </c>
      <c r="B450" t="s">
        <v>11</v>
      </c>
      <c r="C450" t="s">
        <v>12</v>
      </c>
      <c r="D450" t="s">
        <v>111</v>
      </c>
      <c r="E450" t="s">
        <v>120</v>
      </c>
      <c r="F450" t="s">
        <v>1592</v>
      </c>
      <c r="G450" t="s">
        <v>1638</v>
      </c>
      <c r="H450"/>
      <c r="I450"/>
      <c r="J450"/>
      <c r="K450" t="s">
        <v>3721</v>
      </c>
      <c r="L450">
        <v>5280681</v>
      </c>
      <c r="M450" t="s">
        <v>2682</v>
      </c>
    </row>
    <row r="451" spans="1:13" ht="15" x14ac:dyDescent="0.25">
      <c r="A451" t="s">
        <v>1626</v>
      </c>
      <c r="B451" t="s">
        <v>11</v>
      </c>
      <c r="C451" t="s">
        <v>12</v>
      </c>
      <c r="D451" t="s">
        <v>111</v>
      </c>
      <c r="E451" t="s">
        <v>120</v>
      </c>
      <c r="F451" t="s">
        <v>1226</v>
      </c>
      <c r="G451" t="s">
        <v>1227</v>
      </c>
      <c r="H451"/>
      <c r="I451"/>
      <c r="J451"/>
      <c r="K451" t="s">
        <v>3722</v>
      </c>
      <c r="L451">
        <v>5281666</v>
      </c>
      <c r="M451" t="s">
        <v>2016</v>
      </c>
    </row>
    <row r="452" spans="1:13" ht="15" x14ac:dyDescent="0.25">
      <c r="A452" t="s">
        <v>1221</v>
      </c>
      <c r="B452" t="s">
        <v>11</v>
      </c>
      <c r="C452" t="s">
        <v>12</v>
      </c>
      <c r="D452" t="s">
        <v>111</v>
      </c>
      <c r="E452" t="s">
        <v>304</v>
      </c>
      <c r="F452" t="s">
        <v>305</v>
      </c>
      <c r="G452" t="s">
        <v>411</v>
      </c>
      <c r="H452" t="s">
        <v>412</v>
      </c>
      <c r="I452"/>
      <c r="J452"/>
      <c r="K452" t="s">
        <v>3723</v>
      </c>
      <c r="L452">
        <v>14794869</v>
      </c>
      <c r="M452" t="s">
        <v>1249</v>
      </c>
    </row>
    <row r="453" spans="1:13" ht="15" x14ac:dyDescent="0.25">
      <c r="A453" t="s">
        <v>1889</v>
      </c>
      <c r="B453" t="s">
        <v>11</v>
      </c>
      <c r="C453" t="s">
        <v>12</v>
      </c>
      <c r="D453" t="s">
        <v>111</v>
      </c>
      <c r="E453" t="s">
        <v>304</v>
      </c>
      <c r="F453" t="s">
        <v>305</v>
      </c>
      <c r="G453" t="s">
        <v>411</v>
      </c>
      <c r="H453" t="s">
        <v>412</v>
      </c>
      <c r="I453"/>
      <c r="J453"/>
      <c r="K453" t="s">
        <v>3724</v>
      </c>
      <c r="L453">
        <v>92017879</v>
      </c>
      <c r="M453" t="s">
        <v>2110</v>
      </c>
    </row>
    <row r="454" spans="1:13" ht="15" x14ac:dyDescent="0.25">
      <c r="A454" t="s">
        <v>1866</v>
      </c>
      <c r="B454" t="s">
        <v>11</v>
      </c>
      <c r="C454" t="s">
        <v>12</v>
      </c>
      <c r="D454" t="s">
        <v>111</v>
      </c>
      <c r="E454" t="s">
        <v>120</v>
      </c>
      <c r="F454" t="s">
        <v>1226</v>
      </c>
      <c r="G454" t="s">
        <v>1227</v>
      </c>
      <c r="H454"/>
      <c r="I454"/>
      <c r="J454"/>
      <c r="K454" t="s">
        <v>3725</v>
      </c>
      <c r="L454">
        <v>5284452</v>
      </c>
      <c r="M454" t="s">
        <v>2683</v>
      </c>
    </row>
    <row r="455" spans="1:13" ht="15" x14ac:dyDescent="0.25">
      <c r="A455" t="s">
        <v>1820</v>
      </c>
      <c r="B455" t="s">
        <v>11</v>
      </c>
      <c r="C455" t="s">
        <v>12</v>
      </c>
      <c r="D455" t="s">
        <v>36</v>
      </c>
      <c r="E455" t="s">
        <v>44</v>
      </c>
      <c r="F455" t="s">
        <v>370</v>
      </c>
      <c r="G455" t="s">
        <v>391</v>
      </c>
      <c r="H455"/>
      <c r="I455"/>
      <c r="J455"/>
      <c r="K455" t="s">
        <v>3726</v>
      </c>
      <c r="L455">
        <v>66540</v>
      </c>
      <c r="M455" t="s">
        <v>2684</v>
      </c>
    </row>
    <row r="456" spans="1:13" ht="15" x14ac:dyDescent="0.25">
      <c r="A456" t="s">
        <v>566</v>
      </c>
      <c r="B456" t="s">
        <v>11</v>
      </c>
      <c r="C456" t="s">
        <v>12</v>
      </c>
      <c r="D456" t="s">
        <v>24</v>
      </c>
      <c r="E456" t="s">
        <v>25</v>
      </c>
      <c r="F456" t="s">
        <v>567</v>
      </c>
      <c r="G456" t="s">
        <v>567</v>
      </c>
      <c r="H456"/>
      <c r="I456"/>
      <c r="J456"/>
      <c r="K456" t="s">
        <v>3727</v>
      </c>
      <c r="L456">
        <v>5283387</v>
      </c>
      <c r="M456" t="s">
        <v>2685</v>
      </c>
    </row>
    <row r="457" spans="1:13" ht="15" x14ac:dyDescent="0.25">
      <c r="A457" t="s">
        <v>641</v>
      </c>
      <c r="B457" t="s">
        <v>11</v>
      </c>
      <c r="C457" t="s">
        <v>12</v>
      </c>
      <c r="D457" t="s">
        <v>24</v>
      </c>
      <c r="E457" t="s">
        <v>25</v>
      </c>
      <c r="F457" t="s">
        <v>388</v>
      </c>
      <c r="G457" t="s">
        <v>513</v>
      </c>
      <c r="H457"/>
      <c r="I457"/>
      <c r="J457"/>
      <c r="K457" t="s">
        <v>3728</v>
      </c>
      <c r="L457">
        <v>3893</v>
      </c>
      <c r="M457" t="s">
        <v>2686</v>
      </c>
    </row>
    <row r="458" spans="1:13" ht="15" x14ac:dyDescent="0.25">
      <c r="A458" t="s">
        <v>1475</v>
      </c>
      <c r="B458" t="s">
        <v>11</v>
      </c>
      <c r="C458" t="s">
        <v>12</v>
      </c>
      <c r="D458" t="s">
        <v>29</v>
      </c>
      <c r="E458" t="s">
        <v>30</v>
      </c>
      <c r="F458" t="s">
        <v>105</v>
      </c>
      <c r="G458" t="s">
        <v>106</v>
      </c>
      <c r="H458" t="s">
        <v>107</v>
      </c>
      <c r="I458" t="s">
        <v>108</v>
      </c>
      <c r="J458" t="s">
        <v>109</v>
      </c>
      <c r="K458" t="s">
        <v>3729</v>
      </c>
      <c r="L458">
        <v>70133</v>
      </c>
      <c r="M458" t="s">
        <v>1568</v>
      </c>
    </row>
    <row r="459" spans="1:13" ht="15" x14ac:dyDescent="0.25">
      <c r="A459" t="s">
        <v>1339</v>
      </c>
      <c r="B459" t="s">
        <v>11</v>
      </c>
      <c r="C459" t="s">
        <v>12</v>
      </c>
      <c r="D459" t="s">
        <v>29</v>
      </c>
      <c r="E459" t="s">
        <v>30</v>
      </c>
      <c r="F459" t="s">
        <v>105</v>
      </c>
      <c r="G459" t="s">
        <v>114</v>
      </c>
      <c r="H459" t="s">
        <v>115</v>
      </c>
      <c r="I459" t="s">
        <v>1340</v>
      </c>
      <c r="J459" t="s">
        <v>1341</v>
      </c>
      <c r="K459" t="s">
        <v>3730</v>
      </c>
      <c r="L459">
        <v>69184</v>
      </c>
      <c r="M459" t="s">
        <v>2687</v>
      </c>
    </row>
    <row r="460" spans="1:13" ht="15" x14ac:dyDescent="0.25">
      <c r="A460" t="s">
        <v>1588</v>
      </c>
      <c r="B460" t="s">
        <v>11</v>
      </c>
      <c r="C460" t="s">
        <v>12</v>
      </c>
      <c r="D460" t="s">
        <v>111</v>
      </c>
      <c r="E460" t="s">
        <v>304</v>
      </c>
      <c r="F460" t="s">
        <v>305</v>
      </c>
      <c r="G460" t="s">
        <v>382</v>
      </c>
      <c r="H460"/>
      <c r="I460"/>
      <c r="J460"/>
      <c r="K460" t="s">
        <v>3731</v>
      </c>
      <c r="L460">
        <v>5357283</v>
      </c>
      <c r="M460" t="s">
        <v>2688</v>
      </c>
    </row>
    <row r="461" spans="1:13" ht="15" x14ac:dyDescent="0.25">
      <c r="A461" t="s">
        <v>1808</v>
      </c>
      <c r="B461" t="s">
        <v>11</v>
      </c>
      <c r="C461" t="s">
        <v>12</v>
      </c>
      <c r="D461" t="s">
        <v>36</v>
      </c>
      <c r="E461" t="s">
        <v>37</v>
      </c>
      <c r="F461" t="s">
        <v>1809</v>
      </c>
      <c r="G461" t="s">
        <v>1810</v>
      </c>
      <c r="H461"/>
      <c r="I461"/>
      <c r="J461"/>
      <c r="K461" t="s">
        <v>3732</v>
      </c>
      <c r="L461">
        <v>12769</v>
      </c>
      <c r="M461" t="s">
        <v>2082</v>
      </c>
    </row>
    <row r="462" spans="1:13" ht="15" x14ac:dyDescent="0.25">
      <c r="A462" t="s">
        <v>629</v>
      </c>
      <c r="B462" t="s">
        <v>11</v>
      </c>
      <c r="C462" t="s">
        <v>12</v>
      </c>
      <c r="D462" t="s">
        <v>13</v>
      </c>
      <c r="E462" t="s">
        <v>422</v>
      </c>
      <c r="F462" t="s">
        <v>630</v>
      </c>
      <c r="G462" t="s">
        <v>630</v>
      </c>
      <c r="H462"/>
      <c r="I462"/>
      <c r="J462"/>
      <c r="K462" t="s">
        <v>3733</v>
      </c>
      <c r="L462">
        <v>94216</v>
      </c>
      <c r="M462" t="s">
        <v>2689</v>
      </c>
    </row>
    <row r="463" spans="1:13" ht="15" x14ac:dyDescent="0.25">
      <c r="A463" t="s">
        <v>298</v>
      </c>
      <c r="B463" t="s">
        <v>11</v>
      </c>
      <c r="C463" t="s">
        <v>12</v>
      </c>
      <c r="D463" t="s">
        <v>13</v>
      </c>
      <c r="E463" t="s">
        <v>14</v>
      </c>
      <c r="F463" t="s">
        <v>255</v>
      </c>
      <c r="G463" t="s">
        <v>256</v>
      </c>
      <c r="H463" t="s">
        <v>257</v>
      </c>
      <c r="I463" t="s">
        <v>299</v>
      </c>
      <c r="J463"/>
      <c r="K463" t="s">
        <v>3734</v>
      </c>
      <c r="L463">
        <v>69221</v>
      </c>
      <c r="M463" t="s">
        <v>2690</v>
      </c>
    </row>
    <row r="464" spans="1:13" ht="15" x14ac:dyDescent="0.25">
      <c r="A464" t="s">
        <v>1581</v>
      </c>
      <c r="B464" t="s">
        <v>11</v>
      </c>
      <c r="C464" t="s">
        <v>12</v>
      </c>
      <c r="D464" t="s">
        <v>36</v>
      </c>
      <c r="E464" t="s">
        <v>44</v>
      </c>
      <c r="F464" t="s">
        <v>370</v>
      </c>
      <c r="G464" t="s">
        <v>384</v>
      </c>
      <c r="H464"/>
      <c r="I464"/>
      <c r="J464"/>
      <c r="K464" t="s">
        <v>3735</v>
      </c>
      <c r="L464">
        <v>3469</v>
      </c>
      <c r="M464" t="s">
        <v>2691</v>
      </c>
    </row>
    <row r="465" spans="1:13" ht="15" x14ac:dyDescent="0.25">
      <c r="A465" t="s">
        <v>1993</v>
      </c>
      <c r="B465" t="s">
        <v>11</v>
      </c>
      <c r="C465" t="s">
        <v>12</v>
      </c>
      <c r="D465" t="s">
        <v>24</v>
      </c>
      <c r="E465" t="s">
        <v>54</v>
      </c>
      <c r="F465" t="s">
        <v>420</v>
      </c>
      <c r="G465" t="s">
        <v>716</v>
      </c>
      <c r="H465"/>
      <c r="I465"/>
      <c r="J465"/>
      <c r="K465" t="s">
        <v>3736</v>
      </c>
      <c r="L465">
        <v>6430770</v>
      </c>
      <c r="M465" t="s">
        <v>2138</v>
      </c>
    </row>
    <row r="466" spans="1:13" ht="15" x14ac:dyDescent="0.25">
      <c r="A466" t="s">
        <v>1409</v>
      </c>
      <c r="B466" t="s">
        <v>11</v>
      </c>
      <c r="C466" t="s">
        <v>12</v>
      </c>
      <c r="D466" t="s">
        <v>24</v>
      </c>
      <c r="E466" t="s">
        <v>54</v>
      </c>
      <c r="F466" t="s">
        <v>420</v>
      </c>
      <c r="G466" t="s">
        <v>716</v>
      </c>
      <c r="H466"/>
      <c r="I466"/>
      <c r="J466"/>
      <c r="K466" t="s">
        <v>3737</v>
      </c>
      <c r="L466">
        <v>5377896</v>
      </c>
      <c r="M466" t="s">
        <v>2138</v>
      </c>
    </row>
    <row r="467" spans="1:13" ht="15" x14ac:dyDescent="0.25">
      <c r="A467" t="s">
        <v>2382</v>
      </c>
      <c r="B467" t="s">
        <v>11</v>
      </c>
      <c r="C467" t="s">
        <v>12</v>
      </c>
      <c r="D467" t="s">
        <v>24</v>
      </c>
      <c r="E467" t="s">
        <v>54</v>
      </c>
      <c r="F467" t="s">
        <v>420</v>
      </c>
      <c r="G467" t="s">
        <v>716</v>
      </c>
      <c r="H467"/>
      <c r="I467"/>
      <c r="J467"/>
      <c r="K467" t="s">
        <v>3738</v>
      </c>
      <c r="L467">
        <v>6427092</v>
      </c>
      <c r="M467" t="s">
        <v>2138</v>
      </c>
    </row>
    <row r="468" spans="1:13" ht="15" x14ac:dyDescent="0.25">
      <c r="A468" t="s">
        <v>1994</v>
      </c>
      <c r="B468" t="s">
        <v>11</v>
      </c>
      <c r="C468" t="s">
        <v>12</v>
      </c>
      <c r="D468" t="s">
        <v>24</v>
      </c>
      <c r="E468" t="s">
        <v>54</v>
      </c>
      <c r="F468" t="s">
        <v>420</v>
      </c>
      <c r="G468" t="s">
        <v>716</v>
      </c>
      <c r="H468"/>
      <c r="I468"/>
      <c r="J468"/>
      <c r="K468" t="s">
        <v>3739</v>
      </c>
      <c r="L468">
        <v>11747713</v>
      </c>
      <c r="M468" t="s">
        <v>2138</v>
      </c>
    </row>
    <row r="469" spans="1:13" ht="15" x14ac:dyDescent="0.25">
      <c r="A469" t="s">
        <v>1410</v>
      </c>
      <c r="B469" t="s">
        <v>11</v>
      </c>
      <c r="C469" t="s">
        <v>12</v>
      </c>
      <c r="D469" t="s">
        <v>24</v>
      </c>
      <c r="E469" t="s">
        <v>54</v>
      </c>
      <c r="F469" t="s">
        <v>420</v>
      </c>
      <c r="G469" t="s">
        <v>716</v>
      </c>
      <c r="H469"/>
      <c r="I469"/>
      <c r="J469"/>
      <c r="K469" t="s">
        <v>3740</v>
      </c>
      <c r="L469">
        <v>91746509</v>
      </c>
      <c r="M469" t="s">
        <v>2138</v>
      </c>
    </row>
    <row r="470" spans="1:13" ht="15" x14ac:dyDescent="0.25">
      <c r="A470" t="s">
        <v>1411</v>
      </c>
      <c r="B470" t="s">
        <v>11</v>
      </c>
      <c r="C470" t="s">
        <v>12</v>
      </c>
      <c r="D470" t="s">
        <v>24</v>
      </c>
      <c r="E470" t="s">
        <v>54</v>
      </c>
      <c r="F470" t="s">
        <v>420</v>
      </c>
      <c r="G470" t="s">
        <v>716</v>
      </c>
      <c r="H470"/>
      <c r="I470"/>
      <c r="J470"/>
      <c r="K470" t="s">
        <v>3741</v>
      </c>
      <c r="L470">
        <v>91700317</v>
      </c>
      <c r="M470" t="s">
        <v>2138</v>
      </c>
    </row>
    <row r="471" spans="1:13" ht="15" x14ac:dyDescent="0.25">
      <c r="A471" t="s">
        <v>1995</v>
      </c>
      <c r="B471" t="s">
        <v>11</v>
      </c>
      <c r="C471" t="s">
        <v>12</v>
      </c>
      <c r="D471" t="s">
        <v>24</v>
      </c>
      <c r="E471" t="s">
        <v>54</v>
      </c>
      <c r="F471" t="s">
        <v>420</v>
      </c>
      <c r="G471" t="s">
        <v>716</v>
      </c>
      <c r="H471"/>
      <c r="I471"/>
      <c r="J471"/>
      <c r="K471" t="s">
        <v>3742</v>
      </c>
      <c r="L471">
        <v>6436662</v>
      </c>
      <c r="M471" t="s">
        <v>2138</v>
      </c>
    </row>
    <row r="472" spans="1:13" ht="15" x14ac:dyDescent="0.25">
      <c r="A472" t="s">
        <v>166</v>
      </c>
      <c r="B472" t="s">
        <v>11</v>
      </c>
      <c r="C472" t="s">
        <v>12</v>
      </c>
      <c r="D472" t="s">
        <v>111</v>
      </c>
      <c r="E472" t="s">
        <v>167</v>
      </c>
      <c r="F472" t="s">
        <v>168</v>
      </c>
      <c r="G472" t="s">
        <v>169</v>
      </c>
      <c r="H472" t="s">
        <v>170</v>
      </c>
      <c r="I472"/>
      <c r="J472"/>
      <c r="K472" t="s">
        <v>3743</v>
      </c>
      <c r="L472">
        <v>6199</v>
      </c>
      <c r="M472" t="s">
        <v>2692</v>
      </c>
    </row>
    <row r="473" spans="1:13" ht="15" x14ac:dyDescent="0.25">
      <c r="A473" t="s">
        <v>171</v>
      </c>
      <c r="B473" t="s">
        <v>11</v>
      </c>
      <c r="C473" t="s">
        <v>12</v>
      </c>
      <c r="D473" t="s">
        <v>111</v>
      </c>
      <c r="E473" t="s">
        <v>167</v>
      </c>
      <c r="F473" t="s">
        <v>168</v>
      </c>
      <c r="G473" t="s">
        <v>172</v>
      </c>
      <c r="H473"/>
      <c r="I473"/>
      <c r="J473"/>
      <c r="K473" t="s">
        <v>3744</v>
      </c>
      <c r="L473">
        <v>10658</v>
      </c>
      <c r="M473" t="s">
        <v>2693</v>
      </c>
    </row>
    <row r="474" spans="1:13" ht="15" x14ac:dyDescent="0.25">
      <c r="A474" t="s">
        <v>1578</v>
      </c>
      <c r="B474" t="s">
        <v>11</v>
      </c>
      <c r="C474" t="s">
        <v>12</v>
      </c>
      <c r="D474" t="s">
        <v>29</v>
      </c>
      <c r="E474" t="s">
        <v>30</v>
      </c>
      <c r="F474" t="s">
        <v>105</v>
      </c>
      <c r="G474" t="s">
        <v>114</v>
      </c>
      <c r="H474" t="s">
        <v>115</v>
      </c>
      <c r="I474" t="s">
        <v>1340</v>
      </c>
      <c r="J474" t="s">
        <v>1341</v>
      </c>
      <c r="K474" t="s">
        <v>3745</v>
      </c>
      <c r="L474">
        <v>7213</v>
      </c>
      <c r="M474" t="s">
        <v>2694</v>
      </c>
    </row>
    <row r="475" spans="1:13" ht="15" x14ac:dyDescent="0.25">
      <c r="A475" t="s">
        <v>1311</v>
      </c>
      <c r="B475" t="s">
        <v>11</v>
      </c>
      <c r="C475" t="s">
        <v>12</v>
      </c>
      <c r="D475" t="s">
        <v>24</v>
      </c>
      <c r="E475" t="s">
        <v>25</v>
      </c>
      <c r="F475" t="s">
        <v>489</v>
      </c>
      <c r="G475" t="s">
        <v>500</v>
      </c>
      <c r="H475"/>
      <c r="I475"/>
      <c r="J475"/>
      <c r="K475" t="s">
        <v>3746</v>
      </c>
      <c r="L475">
        <v>554151</v>
      </c>
      <c r="M475" t="s">
        <v>1519</v>
      </c>
    </row>
    <row r="476" spans="1:13" ht="15" x14ac:dyDescent="0.25">
      <c r="A476" t="s">
        <v>1937</v>
      </c>
      <c r="B476" t="s">
        <v>11</v>
      </c>
      <c r="C476" t="s">
        <v>12</v>
      </c>
      <c r="D476" t="s">
        <v>24</v>
      </c>
      <c r="E476" t="s">
        <v>54</v>
      </c>
      <c r="F476" t="s">
        <v>55</v>
      </c>
      <c r="G476" t="s">
        <v>58</v>
      </c>
      <c r="H476"/>
      <c r="I476"/>
      <c r="J476"/>
      <c r="K476" t="s">
        <v>3747</v>
      </c>
      <c r="L476">
        <v>572127</v>
      </c>
      <c r="M476" t="s">
        <v>2695</v>
      </c>
    </row>
    <row r="477" spans="1:13" ht="15" x14ac:dyDescent="0.25">
      <c r="A477" t="s">
        <v>1784</v>
      </c>
      <c r="B477" t="s">
        <v>11</v>
      </c>
      <c r="C477" t="s">
        <v>12</v>
      </c>
      <c r="D477" t="s">
        <v>24</v>
      </c>
      <c r="E477" t="s">
        <v>25</v>
      </c>
      <c r="F477" t="s">
        <v>658</v>
      </c>
      <c r="G477" t="s">
        <v>658</v>
      </c>
      <c r="H477"/>
      <c r="I477"/>
      <c r="J477"/>
      <c r="K477" t="s">
        <v>3748</v>
      </c>
      <c r="L477">
        <v>5362830</v>
      </c>
      <c r="M477" t="s">
        <v>2073</v>
      </c>
    </row>
    <row r="478" spans="1:13" ht="15" x14ac:dyDescent="0.25">
      <c r="A478" t="s">
        <v>1437</v>
      </c>
      <c r="B478" t="s">
        <v>11</v>
      </c>
      <c r="C478" t="s">
        <v>12</v>
      </c>
      <c r="D478" t="s">
        <v>111</v>
      </c>
      <c r="E478" t="s">
        <v>167</v>
      </c>
      <c r="F478" t="s">
        <v>168</v>
      </c>
      <c r="G478" t="s">
        <v>169</v>
      </c>
      <c r="H478" t="s">
        <v>170</v>
      </c>
      <c r="I478" t="s">
        <v>1438</v>
      </c>
      <c r="J478"/>
      <c r="K478" t="s">
        <v>3749</v>
      </c>
      <c r="L478">
        <v>2355</v>
      </c>
      <c r="M478" t="s">
        <v>2696</v>
      </c>
    </row>
    <row r="479" spans="1:13" ht="15" x14ac:dyDescent="0.25">
      <c r="A479" t="s">
        <v>458</v>
      </c>
      <c r="B479" t="s">
        <v>11</v>
      </c>
      <c r="C479" t="s">
        <v>12</v>
      </c>
      <c r="D479" t="s">
        <v>29</v>
      </c>
      <c r="E479" t="s">
        <v>30</v>
      </c>
      <c r="F479" t="s">
        <v>105</v>
      </c>
      <c r="G479" t="s">
        <v>106</v>
      </c>
      <c r="H479" t="s">
        <v>107</v>
      </c>
      <c r="I479" t="s">
        <v>108</v>
      </c>
      <c r="J479" t="s">
        <v>109</v>
      </c>
      <c r="K479" t="s">
        <v>3750</v>
      </c>
      <c r="L479">
        <v>66654</v>
      </c>
      <c r="M479" t="s">
        <v>2697</v>
      </c>
    </row>
    <row r="480" spans="1:13" ht="15" x14ac:dyDescent="0.25">
      <c r="A480" t="s">
        <v>1621</v>
      </c>
      <c r="B480" t="s">
        <v>11</v>
      </c>
      <c r="C480" t="s">
        <v>12</v>
      </c>
      <c r="D480" t="s">
        <v>111</v>
      </c>
      <c r="E480" t="s">
        <v>120</v>
      </c>
      <c r="F480" t="s">
        <v>1592</v>
      </c>
      <c r="G480" t="s">
        <v>1598</v>
      </c>
      <c r="H480"/>
      <c r="I480"/>
      <c r="J480"/>
      <c r="K480" t="s">
        <v>3751</v>
      </c>
      <c r="L480">
        <v>117900</v>
      </c>
      <c r="M480" t="s">
        <v>2013</v>
      </c>
    </row>
    <row r="481" spans="1:13" ht="15" x14ac:dyDescent="0.25">
      <c r="A481" t="s">
        <v>1156</v>
      </c>
      <c r="B481" t="s">
        <v>11</v>
      </c>
      <c r="C481" t="s">
        <v>12</v>
      </c>
      <c r="D481" t="s">
        <v>36</v>
      </c>
      <c r="E481" t="s">
        <v>44</v>
      </c>
      <c r="F481" t="s">
        <v>1042</v>
      </c>
      <c r="G481" t="s">
        <v>1042</v>
      </c>
      <c r="H481"/>
      <c r="I481"/>
      <c r="J481"/>
      <c r="K481" t="s">
        <v>3752</v>
      </c>
      <c r="L481">
        <v>78661</v>
      </c>
      <c r="M481" t="s">
        <v>2698</v>
      </c>
    </row>
    <row r="482" spans="1:13" ht="15" x14ac:dyDescent="0.25">
      <c r="A482" t="s">
        <v>1497</v>
      </c>
      <c r="B482" t="s">
        <v>11</v>
      </c>
      <c r="C482" t="s">
        <v>12</v>
      </c>
      <c r="D482" t="s">
        <v>36</v>
      </c>
      <c r="E482" t="s">
        <v>37</v>
      </c>
      <c r="F482" t="s">
        <v>77</v>
      </c>
      <c r="G482" t="s">
        <v>375</v>
      </c>
      <c r="H482"/>
      <c r="I482"/>
      <c r="J482"/>
      <c r="K482" t="s">
        <v>3753</v>
      </c>
      <c r="L482">
        <v>289</v>
      </c>
      <c r="M482" t="s">
        <v>2699</v>
      </c>
    </row>
    <row r="483" spans="1:13" ht="15" x14ac:dyDescent="0.25">
      <c r="A483" t="s">
        <v>1900</v>
      </c>
      <c r="B483" t="s">
        <v>11</v>
      </c>
      <c r="C483" t="s">
        <v>12</v>
      </c>
      <c r="D483" t="s">
        <v>36</v>
      </c>
      <c r="E483" t="s">
        <v>1216</v>
      </c>
      <c r="F483"/>
      <c r="G483" t="s">
        <v>1216</v>
      </c>
      <c r="H483"/>
      <c r="I483"/>
      <c r="J483"/>
      <c r="K483" t="s">
        <v>3754</v>
      </c>
      <c r="L483">
        <v>22217226</v>
      </c>
      <c r="M483" t="s">
        <v>2700</v>
      </c>
    </row>
    <row r="484" spans="1:13" ht="15" x14ac:dyDescent="0.25">
      <c r="A484" t="s">
        <v>952</v>
      </c>
      <c r="B484" t="s">
        <v>11</v>
      </c>
      <c r="C484" t="s">
        <v>12</v>
      </c>
      <c r="D484" t="s">
        <v>24</v>
      </c>
      <c r="E484" t="s">
        <v>54</v>
      </c>
      <c r="F484" t="s">
        <v>60</v>
      </c>
      <c r="G484" t="s">
        <v>933</v>
      </c>
      <c r="H484" t="s">
        <v>934</v>
      </c>
      <c r="I484"/>
      <c r="J484"/>
      <c r="K484" t="s">
        <v>3755</v>
      </c>
      <c r="L484">
        <v>91354</v>
      </c>
      <c r="M484" t="s">
        <v>1113</v>
      </c>
    </row>
    <row r="485" spans="1:13" ht="15" x14ac:dyDescent="0.25">
      <c r="A485" t="s">
        <v>975</v>
      </c>
      <c r="B485" t="s">
        <v>11</v>
      </c>
      <c r="C485" t="s">
        <v>12</v>
      </c>
      <c r="D485" t="s">
        <v>24</v>
      </c>
      <c r="E485" t="s">
        <v>54</v>
      </c>
      <c r="F485" t="s">
        <v>60</v>
      </c>
      <c r="G485" t="s">
        <v>933</v>
      </c>
      <c r="H485" t="s">
        <v>934</v>
      </c>
      <c r="I485"/>
      <c r="J485"/>
      <c r="K485" t="s">
        <v>3756</v>
      </c>
      <c r="L485">
        <v>11095734</v>
      </c>
      <c r="M485" t="s">
        <v>1113</v>
      </c>
    </row>
    <row r="486" spans="1:13" ht="15" x14ac:dyDescent="0.25">
      <c r="A486" t="s">
        <v>2224</v>
      </c>
      <c r="B486" t="s">
        <v>11</v>
      </c>
      <c r="C486" t="s">
        <v>12</v>
      </c>
      <c r="D486" t="s">
        <v>24</v>
      </c>
      <c r="E486" t="s">
        <v>54</v>
      </c>
      <c r="F486" t="s">
        <v>60</v>
      </c>
      <c r="G486" t="s">
        <v>933</v>
      </c>
      <c r="H486" t="s">
        <v>934</v>
      </c>
      <c r="I486"/>
      <c r="J486"/>
      <c r="K486" t="s">
        <v>3757</v>
      </c>
      <c r="L486">
        <v>177445</v>
      </c>
      <c r="M486" t="s">
        <v>1113</v>
      </c>
    </row>
    <row r="487" spans="1:13" ht="15" x14ac:dyDescent="0.25">
      <c r="A487" t="s">
        <v>961</v>
      </c>
      <c r="B487" t="s">
        <v>11</v>
      </c>
      <c r="C487" t="s">
        <v>12</v>
      </c>
      <c r="D487" t="s">
        <v>24</v>
      </c>
      <c r="E487" t="s">
        <v>54</v>
      </c>
      <c r="F487" t="s">
        <v>60</v>
      </c>
      <c r="G487" t="s">
        <v>933</v>
      </c>
      <c r="H487" t="s">
        <v>934</v>
      </c>
      <c r="I487"/>
      <c r="J487"/>
      <c r="K487" t="s">
        <v>3758</v>
      </c>
      <c r="L487">
        <v>91746456</v>
      </c>
      <c r="M487" t="s">
        <v>1113</v>
      </c>
    </row>
    <row r="488" spans="1:13" ht="15" x14ac:dyDescent="0.25">
      <c r="A488" t="s">
        <v>972</v>
      </c>
      <c r="B488" t="s">
        <v>11</v>
      </c>
      <c r="C488" t="s">
        <v>12</v>
      </c>
      <c r="D488" t="s">
        <v>24</v>
      </c>
      <c r="E488" t="s">
        <v>54</v>
      </c>
      <c r="F488" t="s">
        <v>60</v>
      </c>
      <c r="G488" t="s">
        <v>933</v>
      </c>
      <c r="H488" t="s">
        <v>934</v>
      </c>
      <c r="I488"/>
      <c r="J488"/>
      <c r="K488" t="s">
        <v>3759</v>
      </c>
      <c r="L488">
        <v>12305243</v>
      </c>
      <c r="M488" t="s">
        <v>1113</v>
      </c>
    </row>
    <row r="489" spans="1:13" ht="15" x14ac:dyDescent="0.25">
      <c r="A489" t="s">
        <v>2241</v>
      </c>
      <c r="B489" t="s">
        <v>11</v>
      </c>
      <c r="C489" t="s">
        <v>12</v>
      </c>
      <c r="D489" t="s">
        <v>24</v>
      </c>
      <c r="E489" t="s">
        <v>54</v>
      </c>
      <c r="F489" t="s">
        <v>60</v>
      </c>
      <c r="G489" t="s">
        <v>933</v>
      </c>
      <c r="H489" t="s">
        <v>934</v>
      </c>
      <c r="I489"/>
      <c r="J489"/>
      <c r="K489" t="s">
        <v>3760</v>
      </c>
      <c r="L489">
        <v>12304985</v>
      </c>
      <c r="M489" t="s">
        <v>1114</v>
      </c>
    </row>
    <row r="490" spans="1:13" ht="15" x14ac:dyDescent="0.25">
      <c r="A490" t="s">
        <v>963</v>
      </c>
      <c r="B490" t="s">
        <v>11</v>
      </c>
      <c r="C490" t="s">
        <v>12</v>
      </c>
      <c r="D490" t="s">
        <v>24</v>
      </c>
      <c r="E490" t="s">
        <v>54</v>
      </c>
      <c r="F490" t="s">
        <v>60</v>
      </c>
      <c r="G490" t="s">
        <v>933</v>
      </c>
      <c r="H490" t="s">
        <v>934</v>
      </c>
      <c r="I490"/>
      <c r="J490"/>
      <c r="K490" t="s">
        <v>3761</v>
      </c>
      <c r="L490">
        <v>91746597</v>
      </c>
      <c r="M490" t="s">
        <v>1114</v>
      </c>
    </row>
    <row r="491" spans="1:13" ht="15" x14ac:dyDescent="0.25">
      <c r="A491" t="s">
        <v>973</v>
      </c>
      <c r="B491" t="s">
        <v>11</v>
      </c>
      <c r="C491" t="s">
        <v>12</v>
      </c>
      <c r="D491" t="s">
        <v>24</v>
      </c>
      <c r="E491" t="s">
        <v>54</v>
      </c>
      <c r="F491" t="s">
        <v>60</v>
      </c>
      <c r="G491" t="s">
        <v>933</v>
      </c>
      <c r="H491" t="s">
        <v>934</v>
      </c>
      <c r="I491"/>
      <c r="J491"/>
      <c r="K491" t="s">
        <v>3762</v>
      </c>
      <c r="L491">
        <v>12304980</v>
      </c>
      <c r="M491" t="s">
        <v>1114</v>
      </c>
    </row>
    <row r="492" spans="1:13" ht="15" x14ac:dyDescent="0.25">
      <c r="A492" t="s">
        <v>2242</v>
      </c>
      <c r="B492" t="s">
        <v>11</v>
      </c>
      <c r="C492" t="s">
        <v>12</v>
      </c>
      <c r="D492" t="s">
        <v>24</v>
      </c>
      <c r="E492" t="s">
        <v>54</v>
      </c>
      <c r="F492" t="s">
        <v>60</v>
      </c>
      <c r="G492" t="s">
        <v>933</v>
      </c>
      <c r="H492" t="s">
        <v>934</v>
      </c>
      <c r="I492"/>
      <c r="J492"/>
      <c r="K492" t="s">
        <v>3763</v>
      </c>
      <c r="L492">
        <v>11858788</v>
      </c>
      <c r="M492" t="s">
        <v>2333</v>
      </c>
    </row>
    <row r="493" spans="1:13" ht="15" x14ac:dyDescent="0.25">
      <c r="A493" t="s">
        <v>2383</v>
      </c>
      <c r="B493" t="s">
        <v>11</v>
      </c>
      <c r="C493" t="s">
        <v>12</v>
      </c>
      <c r="D493" t="s">
        <v>29</v>
      </c>
      <c r="E493" t="s">
        <v>30</v>
      </c>
      <c r="F493" t="s">
        <v>40</v>
      </c>
      <c r="G493" t="s">
        <v>408</v>
      </c>
      <c r="H493" t="s">
        <v>2478</v>
      </c>
      <c r="I493"/>
      <c r="J493"/>
      <c r="K493" t="s">
        <v>3764</v>
      </c>
      <c r="L493">
        <v>439215</v>
      </c>
      <c r="M493" t="s">
        <v>2701</v>
      </c>
    </row>
    <row r="494" spans="1:13" ht="15" x14ac:dyDescent="0.25">
      <c r="A494" t="s">
        <v>2270</v>
      </c>
      <c r="B494" t="s">
        <v>11</v>
      </c>
      <c r="C494" t="s">
        <v>12</v>
      </c>
      <c r="D494" t="s">
        <v>24</v>
      </c>
      <c r="E494" t="s">
        <v>54</v>
      </c>
      <c r="F494" t="s">
        <v>986</v>
      </c>
      <c r="G494" t="s">
        <v>986</v>
      </c>
      <c r="H494"/>
      <c r="I494"/>
      <c r="J494"/>
      <c r="K494" t="s">
        <v>3765</v>
      </c>
      <c r="L494">
        <v>92158</v>
      </c>
      <c r="M494" t="s">
        <v>2338</v>
      </c>
    </row>
    <row r="495" spans="1:13" ht="15" x14ac:dyDescent="0.25">
      <c r="A495" t="s">
        <v>334</v>
      </c>
      <c r="B495" t="s">
        <v>11</v>
      </c>
      <c r="C495" t="s">
        <v>12</v>
      </c>
      <c r="D495" t="s">
        <v>29</v>
      </c>
      <c r="E495" t="s">
        <v>30</v>
      </c>
      <c r="F495" t="s">
        <v>40</v>
      </c>
      <c r="G495" t="s">
        <v>47</v>
      </c>
      <c r="H495" t="s">
        <v>328</v>
      </c>
      <c r="I495"/>
      <c r="J495"/>
      <c r="K495" t="s">
        <v>3766</v>
      </c>
      <c r="L495">
        <v>440921</v>
      </c>
      <c r="M495" t="s">
        <v>2702</v>
      </c>
    </row>
    <row r="496" spans="1:13" ht="15" x14ac:dyDescent="0.25">
      <c r="A496" t="s">
        <v>353</v>
      </c>
      <c r="B496" t="s">
        <v>11</v>
      </c>
      <c r="C496" t="s">
        <v>12</v>
      </c>
      <c r="D496" t="s">
        <v>29</v>
      </c>
      <c r="E496" t="s">
        <v>30</v>
      </c>
      <c r="F496" t="s">
        <v>40</v>
      </c>
      <c r="G496" t="s">
        <v>47</v>
      </c>
      <c r="H496" t="s">
        <v>331</v>
      </c>
      <c r="I496"/>
      <c r="J496"/>
      <c r="K496" t="s">
        <v>3767</v>
      </c>
      <c r="L496">
        <v>6036</v>
      </c>
      <c r="M496" t="s">
        <v>2703</v>
      </c>
    </row>
    <row r="497" spans="1:13" ht="15" x14ac:dyDescent="0.25">
      <c r="A497" t="s">
        <v>363</v>
      </c>
      <c r="B497" t="s">
        <v>11</v>
      </c>
      <c r="C497" t="s">
        <v>12</v>
      </c>
      <c r="D497" t="s">
        <v>29</v>
      </c>
      <c r="E497" t="s">
        <v>30</v>
      </c>
      <c r="F497" t="s">
        <v>40</v>
      </c>
      <c r="G497" t="s">
        <v>362</v>
      </c>
      <c r="H497"/>
      <c r="I497"/>
      <c r="J497"/>
      <c r="K497" t="s">
        <v>3768</v>
      </c>
      <c r="L497">
        <v>222285</v>
      </c>
      <c r="M497" t="s">
        <v>768</v>
      </c>
    </row>
    <row r="498" spans="1:13" ht="15" x14ac:dyDescent="0.25">
      <c r="A498" t="s">
        <v>1771</v>
      </c>
      <c r="B498" t="s">
        <v>11</v>
      </c>
      <c r="C498" t="s">
        <v>12</v>
      </c>
      <c r="D498" t="s">
        <v>36</v>
      </c>
      <c r="E498" t="s">
        <v>37</v>
      </c>
      <c r="F498" t="s">
        <v>77</v>
      </c>
      <c r="G498" t="s">
        <v>1772</v>
      </c>
      <c r="H498"/>
      <c r="I498"/>
      <c r="J498"/>
      <c r="K498" t="s">
        <v>3769</v>
      </c>
      <c r="L498">
        <v>785</v>
      </c>
      <c r="M498" t="s">
        <v>2704</v>
      </c>
    </row>
    <row r="499" spans="1:13" ht="15" x14ac:dyDescent="0.25">
      <c r="A499" t="s">
        <v>1912</v>
      </c>
      <c r="B499" t="s">
        <v>11</v>
      </c>
      <c r="C499" t="s">
        <v>12</v>
      </c>
      <c r="D499" t="s">
        <v>36</v>
      </c>
      <c r="E499" t="s">
        <v>37</v>
      </c>
      <c r="F499" t="s">
        <v>1902</v>
      </c>
      <c r="G499" t="s">
        <v>1913</v>
      </c>
      <c r="H499"/>
      <c r="I499"/>
      <c r="J499"/>
      <c r="K499" t="s">
        <v>3770</v>
      </c>
      <c r="L499">
        <v>359</v>
      </c>
      <c r="M499" t="s">
        <v>2705</v>
      </c>
    </row>
    <row r="500" spans="1:13" ht="15" x14ac:dyDescent="0.25">
      <c r="A500" t="s">
        <v>1603</v>
      </c>
      <c r="B500" t="s">
        <v>11</v>
      </c>
      <c r="C500" t="s">
        <v>12</v>
      </c>
      <c r="D500" t="s">
        <v>111</v>
      </c>
      <c r="E500" t="s">
        <v>120</v>
      </c>
      <c r="F500" t="s">
        <v>1592</v>
      </c>
      <c r="G500" t="s">
        <v>1598</v>
      </c>
      <c r="H500"/>
      <c r="I500"/>
      <c r="J500"/>
      <c r="K500" t="s">
        <v>3771</v>
      </c>
      <c r="L500">
        <v>5281617</v>
      </c>
      <c r="M500" t="s">
        <v>2706</v>
      </c>
    </row>
    <row r="501" spans="1:13" ht="15" x14ac:dyDescent="0.25">
      <c r="A501" t="s">
        <v>1432</v>
      </c>
      <c r="B501" t="s">
        <v>11</v>
      </c>
      <c r="C501" t="s">
        <v>12</v>
      </c>
      <c r="D501" t="s">
        <v>111</v>
      </c>
      <c r="E501" t="s">
        <v>167</v>
      </c>
      <c r="F501" t="s">
        <v>1163</v>
      </c>
      <c r="G501" t="s">
        <v>1433</v>
      </c>
      <c r="H501"/>
      <c r="I501"/>
      <c r="J501"/>
      <c r="K501" t="s">
        <v>3772</v>
      </c>
      <c r="L501">
        <v>5281416</v>
      </c>
      <c r="M501" t="s">
        <v>1554</v>
      </c>
    </row>
    <row r="502" spans="1:13" ht="15" x14ac:dyDescent="0.25">
      <c r="A502" t="s">
        <v>1658</v>
      </c>
      <c r="B502" t="s">
        <v>11</v>
      </c>
      <c r="C502" t="s">
        <v>12</v>
      </c>
      <c r="D502" t="s">
        <v>111</v>
      </c>
      <c r="E502" t="s">
        <v>120</v>
      </c>
      <c r="F502" t="s">
        <v>1226</v>
      </c>
      <c r="G502" t="s">
        <v>1227</v>
      </c>
      <c r="H502"/>
      <c r="I502"/>
      <c r="J502"/>
      <c r="K502" t="s">
        <v>3773</v>
      </c>
      <c r="L502">
        <v>5281670</v>
      </c>
      <c r="M502" t="s">
        <v>2026</v>
      </c>
    </row>
    <row r="503" spans="1:13" ht="15" x14ac:dyDescent="0.25">
      <c r="A503" t="s">
        <v>553</v>
      </c>
      <c r="B503" t="s">
        <v>11</v>
      </c>
      <c r="C503" t="s">
        <v>12</v>
      </c>
      <c r="D503" t="s">
        <v>24</v>
      </c>
      <c r="E503" t="s">
        <v>25</v>
      </c>
      <c r="F503" t="s">
        <v>504</v>
      </c>
      <c r="G503" t="s">
        <v>504</v>
      </c>
      <c r="H503"/>
      <c r="I503"/>
      <c r="J503"/>
      <c r="K503" t="s">
        <v>3774</v>
      </c>
      <c r="L503">
        <v>5280450</v>
      </c>
      <c r="M503" t="s">
        <v>818</v>
      </c>
    </row>
    <row r="504" spans="1:13" ht="15" x14ac:dyDescent="0.25">
      <c r="A504" t="s">
        <v>1443</v>
      </c>
      <c r="B504" t="s">
        <v>11</v>
      </c>
      <c r="C504" t="s">
        <v>12</v>
      </c>
      <c r="D504" t="s">
        <v>101</v>
      </c>
      <c r="E504" t="s">
        <v>199</v>
      </c>
      <c r="F504" t="s">
        <v>200</v>
      </c>
      <c r="G504" t="s">
        <v>200</v>
      </c>
      <c r="H504"/>
      <c r="I504"/>
      <c r="J504"/>
      <c r="K504" t="s">
        <v>3775</v>
      </c>
      <c r="L504">
        <v>138756217</v>
      </c>
      <c r="M504" t="s">
        <v>1557</v>
      </c>
    </row>
    <row r="505" spans="1:13" ht="15" x14ac:dyDescent="0.25">
      <c r="A505" t="s">
        <v>1076</v>
      </c>
      <c r="B505" t="s">
        <v>11</v>
      </c>
      <c r="C505" t="s">
        <v>12</v>
      </c>
      <c r="D505" t="s">
        <v>111</v>
      </c>
      <c r="E505" t="s">
        <v>304</v>
      </c>
      <c r="F505" t="s">
        <v>305</v>
      </c>
      <c r="G505" t="s">
        <v>382</v>
      </c>
      <c r="H505"/>
      <c r="I505"/>
      <c r="J505"/>
      <c r="K505" t="s">
        <v>3776</v>
      </c>
      <c r="L505">
        <v>5379186</v>
      </c>
      <c r="M505" t="s">
        <v>2707</v>
      </c>
    </row>
    <row r="506" spans="1:13" ht="15" x14ac:dyDescent="0.25">
      <c r="A506" t="s">
        <v>1155</v>
      </c>
      <c r="B506" t="s">
        <v>11</v>
      </c>
      <c r="C506" t="s">
        <v>12</v>
      </c>
      <c r="D506" t="s">
        <v>111</v>
      </c>
      <c r="E506" t="s">
        <v>304</v>
      </c>
      <c r="F506" t="s">
        <v>305</v>
      </c>
      <c r="G506" t="s">
        <v>382</v>
      </c>
      <c r="H506"/>
      <c r="I506"/>
      <c r="J506"/>
      <c r="K506" t="s">
        <v>3777</v>
      </c>
      <c r="L506">
        <v>5366702</v>
      </c>
      <c r="M506" t="s">
        <v>1233</v>
      </c>
    </row>
    <row r="507" spans="1:13" ht="15" x14ac:dyDescent="0.25">
      <c r="A507" t="s">
        <v>1756</v>
      </c>
      <c r="B507" t="s">
        <v>11</v>
      </c>
      <c r="C507" t="s">
        <v>12</v>
      </c>
      <c r="D507" t="s">
        <v>36</v>
      </c>
      <c r="E507" t="s">
        <v>44</v>
      </c>
      <c r="F507" t="s">
        <v>370</v>
      </c>
      <c r="G507" t="s">
        <v>391</v>
      </c>
      <c r="H507"/>
      <c r="I507"/>
      <c r="J507"/>
      <c r="K507" t="s">
        <v>3778</v>
      </c>
      <c r="L507">
        <v>3026</v>
      </c>
      <c r="M507" t="s">
        <v>2063</v>
      </c>
    </row>
    <row r="508" spans="1:13" ht="15" x14ac:dyDescent="0.25">
      <c r="A508" t="s">
        <v>1270</v>
      </c>
      <c r="B508" t="s">
        <v>11</v>
      </c>
      <c r="C508" t="s">
        <v>12</v>
      </c>
      <c r="D508" t="s">
        <v>1181</v>
      </c>
      <c r="E508" t="s">
        <v>1182</v>
      </c>
      <c r="F508" t="s">
        <v>1183</v>
      </c>
      <c r="G508" t="s">
        <v>1271</v>
      </c>
      <c r="H508"/>
      <c r="I508"/>
      <c r="J508"/>
      <c r="K508" t="s">
        <v>3779</v>
      </c>
      <c r="L508">
        <v>522155</v>
      </c>
      <c r="M508" t="s">
        <v>2708</v>
      </c>
    </row>
    <row r="509" spans="1:13" ht="15" x14ac:dyDescent="0.25">
      <c r="A509" t="s">
        <v>1465</v>
      </c>
      <c r="B509" t="s">
        <v>11</v>
      </c>
      <c r="C509" t="s">
        <v>12</v>
      </c>
      <c r="D509" t="s">
        <v>1181</v>
      </c>
      <c r="E509" t="s">
        <v>1182</v>
      </c>
      <c r="F509" t="s">
        <v>1183</v>
      </c>
      <c r="G509" t="s">
        <v>1466</v>
      </c>
      <c r="H509"/>
      <c r="I509"/>
      <c r="J509"/>
      <c r="K509" t="s">
        <v>3780</v>
      </c>
      <c r="L509">
        <v>24705</v>
      </c>
      <c r="M509" t="s">
        <v>1564</v>
      </c>
    </row>
    <row r="510" spans="1:13" ht="15" x14ac:dyDescent="0.25">
      <c r="A510" t="s">
        <v>1262</v>
      </c>
      <c r="B510" t="s">
        <v>11</v>
      </c>
      <c r="C510" t="s">
        <v>12</v>
      </c>
      <c r="D510" t="s">
        <v>101</v>
      </c>
      <c r="E510" t="s">
        <v>686</v>
      </c>
      <c r="F510" t="s">
        <v>1263</v>
      </c>
      <c r="G510" t="s">
        <v>1264</v>
      </c>
      <c r="H510"/>
      <c r="I510"/>
      <c r="J510"/>
      <c r="K510" t="s">
        <v>3781</v>
      </c>
      <c r="L510">
        <v>612941</v>
      </c>
      <c r="M510" t="s">
        <v>1502</v>
      </c>
    </row>
    <row r="511" spans="1:13" ht="15" x14ac:dyDescent="0.25">
      <c r="A511" t="s">
        <v>1268</v>
      </c>
      <c r="B511" t="s">
        <v>11</v>
      </c>
      <c r="C511" t="s">
        <v>12</v>
      </c>
      <c r="D511" t="s">
        <v>1181</v>
      </c>
      <c r="E511" t="s">
        <v>1182</v>
      </c>
      <c r="F511" t="s">
        <v>1183</v>
      </c>
      <c r="G511" t="s">
        <v>1184</v>
      </c>
      <c r="H511" t="s">
        <v>1269</v>
      </c>
      <c r="I511"/>
      <c r="J511"/>
      <c r="K511" t="s">
        <v>3782</v>
      </c>
      <c r="L511">
        <v>522285</v>
      </c>
      <c r="M511" t="s">
        <v>1503</v>
      </c>
    </row>
    <row r="512" spans="1:13" ht="15" x14ac:dyDescent="0.25">
      <c r="A512" t="s">
        <v>1272</v>
      </c>
      <c r="B512" t="s">
        <v>11</v>
      </c>
      <c r="C512" t="s">
        <v>12</v>
      </c>
      <c r="D512" t="s">
        <v>1181</v>
      </c>
      <c r="E512" t="s">
        <v>1182</v>
      </c>
      <c r="F512" t="s">
        <v>1183</v>
      </c>
      <c r="G512" t="s">
        <v>1271</v>
      </c>
      <c r="H512"/>
      <c r="I512"/>
      <c r="J512"/>
      <c r="K512" t="s">
        <v>3783</v>
      </c>
      <c r="L512">
        <v>520988</v>
      </c>
      <c r="M512" t="s">
        <v>2709</v>
      </c>
    </row>
    <row r="513" spans="1:13" ht="15" x14ac:dyDescent="0.25">
      <c r="A513" t="s">
        <v>226</v>
      </c>
      <c r="B513" t="s">
        <v>11</v>
      </c>
      <c r="C513" t="s">
        <v>12</v>
      </c>
      <c r="D513" t="s">
        <v>222</v>
      </c>
      <c r="E513" t="s">
        <v>223</v>
      </c>
      <c r="F513"/>
      <c r="G513" t="s">
        <v>223</v>
      </c>
      <c r="H513"/>
      <c r="I513"/>
      <c r="J513"/>
      <c r="K513" t="s">
        <v>3784</v>
      </c>
      <c r="L513">
        <v>17648</v>
      </c>
      <c r="M513" t="s">
        <v>743</v>
      </c>
    </row>
    <row r="514" spans="1:13" ht="15" x14ac:dyDescent="0.25">
      <c r="A514" t="s">
        <v>1452</v>
      </c>
      <c r="B514" t="s">
        <v>11</v>
      </c>
      <c r="C514" t="s">
        <v>12</v>
      </c>
      <c r="D514" t="s">
        <v>219</v>
      </c>
      <c r="E514" t="s">
        <v>677</v>
      </c>
      <c r="F514"/>
      <c r="G514" t="s">
        <v>677</v>
      </c>
      <c r="H514"/>
      <c r="I514"/>
      <c r="J514"/>
      <c r="K514" t="s">
        <v>3785</v>
      </c>
      <c r="L514">
        <v>161692</v>
      </c>
      <c r="M514" t="s">
        <v>2710</v>
      </c>
    </row>
    <row r="515" spans="1:13" ht="15" x14ac:dyDescent="0.25">
      <c r="A515" t="s">
        <v>1417</v>
      </c>
      <c r="B515" t="s">
        <v>11</v>
      </c>
      <c r="C515" t="s">
        <v>12</v>
      </c>
      <c r="D515" t="s">
        <v>24</v>
      </c>
      <c r="E515" t="s">
        <v>94</v>
      </c>
      <c r="F515" t="s">
        <v>1203</v>
      </c>
      <c r="G515" t="s">
        <v>1204</v>
      </c>
      <c r="H515"/>
      <c r="I515"/>
      <c r="J515"/>
      <c r="K515" t="s">
        <v>3786</v>
      </c>
      <c r="L515">
        <v>91745016</v>
      </c>
      <c r="M515" t="s">
        <v>1552</v>
      </c>
    </row>
    <row r="516" spans="1:13" ht="15" x14ac:dyDescent="0.25">
      <c r="A516" t="s">
        <v>1464</v>
      </c>
      <c r="B516" t="s">
        <v>11</v>
      </c>
      <c r="C516" t="s">
        <v>12</v>
      </c>
      <c r="D516" t="s">
        <v>1181</v>
      </c>
      <c r="E516" t="s">
        <v>1182</v>
      </c>
      <c r="F516" t="s">
        <v>1183</v>
      </c>
      <c r="G516" t="s">
        <v>1271</v>
      </c>
      <c r="H516"/>
      <c r="I516"/>
      <c r="J516"/>
      <c r="K516" t="s">
        <v>3787</v>
      </c>
      <c r="L516">
        <v>521638</v>
      </c>
      <c r="M516" t="s">
        <v>2711</v>
      </c>
    </row>
    <row r="517" spans="1:13" ht="15" x14ac:dyDescent="0.25">
      <c r="A517" t="s">
        <v>578</v>
      </c>
      <c r="B517" t="s">
        <v>11</v>
      </c>
      <c r="C517" t="s">
        <v>12</v>
      </c>
      <c r="D517" t="s">
        <v>24</v>
      </c>
      <c r="E517" t="s">
        <v>25</v>
      </c>
      <c r="F517" t="s">
        <v>388</v>
      </c>
      <c r="G517" t="s">
        <v>389</v>
      </c>
      <c r="H517"/>
      <c r="I517"/>
      <c r="J517"/>
      <c r="K517" t="s">
        <v>3788</v>
      </c>
      <c r="L517">
        <v>11005</v>
      </c>
      <c r="M517" t="s">
        <v>828</v>
      </c>
    </row>
    <row r="518" spans="1:13" ht="15" x14ac:dyDescent="0.25">
      <c r="A518" t="s">
        <v>1458</v>
      </c>
      <c r="B518" t="s">
        <v>11</v>
      </c>
      <c r="C518" t="s">
        <v>12</v>
      </c>
      <c r="D518" t="s">
        <v>24</v>
      </c>
      <c r="E518" t="s">
        <v>25</v>
      </c>
      <c r="F518" t="s">
        <v>658</v>
      </c>
      <c r="G518" t="s">
        <v>658</v>
      </c>
      <c r="H518"/>
      <c r="I518"/>
      <c r="J518"/>
      <c r="K518" t="s">
        <v>3789</v>
      </c>
      <c r="L518">
        <v>5363222</v>
      </c>
      <c r="M518" t="s">
        <v>1563</v>
      </c>
    </row>
    <row r="519" spans="1:13" ht="15" x14ac:dyDescent="0.25">
      <c r="A519" t="s">
        <v>2232</v>
      </c>
      <c r="B519" t="s">
        <v>11</v>
      </c>
      <c r="C519" t="s">
        <v>12</v>
      </c>
      <c r="D519" t="s">
        <v>24</v>
      </c>
      <c r="E519" t="s">
        <v>54</v>
      </c>
      <c r="F519" t="s">
        <v>60</v>
      </c>
      <c r="G519" t="s">
        <v>60</v>
      </c>
      <c r="H519"/>
      <c r="I519"/>
      <c r="J519"/>
      <c r="K519" t="s">
        <v>3790</v>
      </c>
      <c r="L519">
        <v>21675005</v>
      </c>
      <c r="M519" t="s">
        <v>2329</v>
      </c>
    </row>
    <row r="520" spans="1:13" ht="15" x14ac:dyDescent="0.25">
      <c r="A520" t="s">
        <v>987</v>
      </c>
      <c r="B520" t="s">
        <v>11</v>
      </c>
      <c r="C520" t="s">
        <v>12</v>
      </c>
      <c r="D520" t="s">
        <v>24</v>
      </c>
      <c r="E520" t="s">
        <v>54</v>
      </c>
      <c r="F520" t="s">
        <v>988</v>
      </c>
      <c r="G520" t="s">
        <v>988</v>
      </c>
      <c r="H520"/>
      <c r="I520"/>
      <c r="J520"/>
      <c r="K520" t="s">
        <v>3791</v>
      </c>
      <c r="L520">
        <v>92155</v>
      </c>
      <c r="M520" t="s">
        <v>1120</v>
      </c>
    </row>
    <row r="521" spans="1:13" ht="15" x14ac:dyDescent="0.25">
      <c r="A521" t="s">
        <v>560</v>
      </c>
      <c r="B521" t="s">
        <v>11</v>
      </c>
      <c r="C521" t="s">
        <v>12</v>
      </c>
      <c r="D521" t="s">
        <v>24</v>
      </c>
      <c r="E521" t="s">
        <v>25</v>
      </c>
      <c r="F521" t="s">
        <v>388</v>
      </c>
      <c r="G521" t="s">
        <v>389</v>
      </c>
      <c r="H521"/>
      <c r="I521"/>
      <c r="J521"/>
      <c r="K521" t="s">
        <v>3792</v>
      </c>
      <c r="L521">
        <v>637517</v>
      </c>
      <c r="M521" t="s">
        <v>2712</v>
      </c>
    </row>
    <row r="522" spans="1:13" ht="15" x14ac:dyDescent="0.25">
      <c r="A522" t="s">
        <v>669</v>
      </c>
      <c r="B522" t="s">
        <v>11</v>
      </c>
      <c r="C522" t="s">
        <v>12</v>
      </c>
      <c r="D522" t="s">
        <v>670</v>
      </c>
      <c r="E522" t="s">
        <v>671</v>
      </c>
      <c r="F522" t="s">
        <v>672</v>
      </c>
      <c r="G522" t="s">
        <v>672</v>
      </c>
      <c r="H522"/>
      <c r="I522"/>
      <c r="J522"/>
      <c r="K522" t="s">
        <v>3793</v>
      </c>
      <c r="L522">
        <v>727</v>
      </c>
      <c r="M522" t="s">
        <v>857</v>
      </c>
    </row>
    <row r="523" spans="1:13" ht="15" x14ac:dyDescent="0.25">
      <c r="A523" t="s">
        <v>1914</v>
      </c>
      <c r="B523" t="s">
        <v>11</v>
      </c>
      <c r="C523" t="s">
        <v>12</v>
      </c>
      <c r="D523" t="s">
        <v>29</v>
      </c>
      <c r="E523" t="s">
        <v>30</v>
      </c>
      <c r="F523" t="s">
        <v>40</v>
      </c>
      <c r="G523" t="s">
        <v>362</v>
      </c>
      <c r="H523"/>
      <c r="I523"/>
      <c r="J523"/>
      <c r="K523" t="s">
        <v>3794</v>
      </c>
      <c r="L523">
        <v>5780</v>
      </c>
      <c r="M523" t="s">
        <v>2713</v>
      </c>
    </row>
    <row r="524" spans="1:13" ht="15" x14ac:dyDescent="0.25">
      <c r="A524" t="s">
        <v>1905</v>
      </c>
      <c r="B524" t="s">
        <v>11</v>
      </c>
      <c r="C524" t="s">
        <v>12</v>
      </c>
      <c r="D524" t="s">
        <v>29</v>
      </c>
      <c r="E524" t="s">
        <v>30</v>
      </c>
      <c r="F524" t="s">
        <v>40</v>
      </c>
      <c r="G524" t="s">
        <v>362</v>
      </c>
      <c r="H524"/>
      <c r="I524"/>
      <c r="J524"/>
      <c r="K524" t="s">
        <v>3795</v>
      </c>
      <c r="L524">
        <v>169019</v>
      </c>
      <c r="M524" t="s">
        <v>2714</v>
      </c>
    </row>
    <row r="525" spans="1:13" ht="15" x14ac:dyDescent="0.25">
      <c r="A525" t="s">
        <v>361</v>
      </c>
      <c r="B525" t="s">
        <v>11</v>
      </c>
      <c r="C525" t="s">
        <v>12</v>
      </c>
      <c r="D525" t="s">
        <v>29</v>
      </c>
      <c r="E525" t="s">
        <v>30</v>
      </c>
      <c r="F525" t="s">
        <v>40</v>
      </c>
      <c r="G525" t="s">
        <v>362</v>
      </c>
      <c r="H525"/>
      <c r="I525"/>
      <c r="J525"/>
      <c r="K525" t="s">
        <v>3796</v>
      </c>
      <c r="L525">
        <v>11850</v>
      </c>
      <c r="M525" t="s">
        <v>767</v>
      </c>
    </row>
    <row r="526" spans="1:13" ht="15" x14ac:dyDescent="0.25">
      <c r="A526" t="s">
        <v>1917</v>
      </c>
      <c r="B526" t="s">
        <v>11</v>
      </c>
      <c r="C526" t="s">
        <v>12</v>
      </c>
      <c r="D526" t="s">
        <v>101</v>
      </c>
      <c r="E526" t="s">
        <v>1157</v>
      </c>
      <c r="F526"/>
      <c r="G526" t="s">
        <v>1157</v>
      </c>
      <c r="H526"/>
      <c r="I526"/>
      <c r="J526"/>
      <c r="K526" t="s">
        <v>3797</v>
      </c>
      <c r="L526">
        <v>7047</v>
      </c>
      <c r="M526" t="s">
        <v>2115</v>
      </c>
    </row>
    <row r="527" spans="1:13" ht="15" x14ac:dyDescent="0.25">
      <c r="A527" t="s">
        <v>1830</v>
      </c>
      <c r="B527" t="s">
        <v>11</v>
      </c>
      <c r="C527" t="s">
        <v>12</v>
      </c>
      <c r="D527" t="s">
        <v>111</v>
      </c>
      <c r="E527" t="s">
        <v>437</v>
      </c>
      <c r="F527"/>
      <c r="G527" t="s">
        <v>437</v>
      </c>
      <c r="H527"/>
      <c r="I527"/>
      <c r="J527"/>
      <c r="K527" t="s">
        <v>3798</v>
      </c>
      <c r="L527">
        <v>107</v>
      </c>
      <c r="M527" t="s">
        <v>2715</v>
      </c>
    </row>
    <row r="528" spans="1:13" ht="15" x14ac:dyDescent="0.25">
      <c r="A528" t="s">
        <v>1796</v>
      </c>
      <c r="B528" t="s">
        <v>11</v>
      </c>
      <c r="C528" t="s">
        <v>12</v>
      </c>
      <c r="D528" t="s">
        <v>111</v>
      </c>
      <c r="E528" t="s">
        <v>304</v>
      </c>
      <c r="F528" t="s">
        <v>305</v>
      </c>
      <c r="G528" t="s">
        <v>306</v>
      </c>
      <c r="H528"/>
      <c r="I528"/>
      <c r="J528"/>
      <c r="K528" t="s">
        <v>3799</v>
      </c>
      <c r="L528">
        <v>1549106</v>
      </c>
      <c r="M528" t="s">
        <v>2716</v>
      </c>
    </row>
    <row r="529" spans="1:13" ht="15" x14ac:dyDescent="0.25">
      <c r="A529" t="s">
        <v>1770</v>
      </c>
      <c r="B529" t="s">
        <v>11</v>
      </c>
      <c r="C529" t="s">
        <v>12</v>
      </c>
      <c r="D529" t="s">
        <v>29</v>
      </c>
      <c r="E529" t="s">
        <v>30</v>
      </c>
      <c r="F529" t="s">
        <v>105</v>
      </c>
      <c r="G529" t="s">
        <v>114</v>
      </c>
      <c r="H529" t="s">
        <v>115</v>
      </c>
      <c r="I529" t="s">
        <v>1340</v>
      </c>
      <c r="J529" t="s">
        <v>1341</v>
      </c>
      <c r="K529" t="s">
        <v>3800</v>
      </c>
      <c r="L529">
        <v>126</v>
      </c>
      <c r="M529" t="s">
        <v>2067</v>
      </c>
    </row>
    <row r="530" spans="1:13" ht="15" x14ac:dyDescent="0.25">
      <c r="A530" t="s">
        <v>1469</v>
      </c>
      <c r="B530" t="s">
        <v>11</v>
      </c>
      <c r="C530" t="s">
        <v>12</v>
      </c>
      <c r="D530" t="s">
        <v>24</v>
      </c>
      <c r="E530" t="s">
        <v>54</v>
      </c>
      <c r="F530" t="s">
        <v>60</v>
      </c>
      <c r="G530" t="s">
        <v>60</v>
      </c>
      <c r="H530"/>
      <c r="I530"/>
      <c r="J530"/>
      <c r="K530" t="s">
        <v>3801</v>
      </c>
      <c r="L530">
        <v>1742210</v>
      </c>
      <c r="M530" t="s">
        <v>1565</v>
      </c>
    </row>
    <row r="531" spans="1:13" ht="15" x14ac:dyDescent="0.25">
      <c r="A531" t="s">
        <v>1354</v>
      </c>
      <c r="B531" t="s">
        <v>11</v>
      </c>
      <c r="C531" t="s">
        <v>12</v>
      </c>
      <c r="D531" t="s">
        <v>24</v>
      </c>
      <c r="E531" t="s">
        <v>54</v>
      </c>
      <c r="F531" t="s">
        <v>986</v>
      </c>
      <c r="G531" t="s">
        <v>986</v>
      </c>
      <c r="H531"/>
      <c r="I531"/>
      <c r="J531"/>
      <c r="K531" t="s">
        <v>3802</v>
      </c>
      <c r="L531">
        <v>565780</v>
      </c>
      <c r="M531" t="s">
        <v>1529</v>
      </c>
    </row>
    <row r="532" spans="1:13" ht="15" x14ac:dyDescent="0.25">
      <c r="A532" t="s">
        <v>63</v>
      </c>
      <c r="B532" t="s">
        <v>11</v>
      </c>
      <c r="C532" t="s">
        <v>12</v>
      </c>
      <c r="D532" t="s">
        <v>24</v>
      </c>
      <c r="E532" t="s">
        <v>54</v>
      </c>
      <c r="F532" t="s">
        <v>55</v>
      </c>
      <c r="G532" t="s">
        <v>58</v>
      </c>
      <c r="H532"/>
      <c r="I532"/>
      <c r="J532"/>
      <c r="K532" t="s">
        <v>3803</v>
      </c>
      <c r="L532">
        <v>643820</v>
      </c>
      <c r="M532" t="s">
        <v>727</v>
      </c>
    </row>
    <row r="533" spans="1:13" ht="15" x14ac:dyDescent="0.25">
      <c r="A533" t="s">
        <v>1485</v>
      </c>
      <c r="B533" t="s">
        <v>11</v>
      </c>
      <c r="C533" t="s">
        <v>12</v>
      </c>
      <c r="D533" t="s">
        <v>36</v>
      </c>
      <c r="E533" t="s">
        <v>1017</v>
      </c>
      <c r="F533" t="s">
        <v>1018</v>
      </c>
      <c r="G533" t="s">
        <v>1483</v>
      </c>
      <c r="H533"/>
      <c r="I533"/>
      <c r="J533"/>
      <c r="K533" t="s">
        <v>3804</v>
      </c>
      <c r="L533">
        <v>3220</v>
      </c>
      <c r="M533" t="s">
        <v>2717</v>
      </c>
    </row>
    <row r="534" spans="1:13" ht="15" x14ac:dyDescent="0.25">
      <c r="A534" t="s">
        <v>1846</v>
      </c>
      <c r="B534" t="s">
        <v>11</v>
      </c>
      <c r="C534" t="s">
        <v>12</v>
      </c>
      <c r="D534" t="s">
        <v>111</v>
      </c>
      <c r="E534" t="s">
        <v>120</v>
      </c>
      <c r="F534" t="s">
        <v>121</v>
      </c>
      <c r="G534" t="s">
        <v>1494</v>
      </c>
      <c r="H534" t="s">
        <v>1495</v>
      </c>
      <c r="I534"/>
      <c r="J534"/>
      <c r="K534" t="s">
        <v>3805</v>
      </c>
      <c r="L534">
        <v>72276</v>
      </c>
      <c r="M534" t="s">
        <v>2718</v>
      </c>
    </row>
    <row r="535" spans="1:13" ht="15" x14ac:dyDescent="0.25">
      <c r="A535" t="s">
        <v>1831</v>
      </c>
      <c r="B535" t="s">
        <v>11</v>
      </c>
      <c r="C535" t="s">
        <v>12</v>
      </c>
      <c r="D535" t="s">
        <v>111</v>
      </c>
      <c r="E535" t="s">
        <v>321</v>
      </c>
      <c r="F535"/>
      <c r="G535" t="s">
        <v>321</v>
      </c>
      <c r="H535"/>
      <c r="I535"/>
      <c r="J535"/>
      <c r="K535" t="s">
        <v>3806</v>
      </c>
      <c r="L535">
        <v>445154</v>
      </c>
      <c r="M535" t="s">
        <v>2085</v>
      </c>
    </row>
    <row r="536" spans="1:13" ht="15" x14ac:dyDescent="0.25">
      <c r="A536" t="s">
        <v>1788</v>
      </c>
      <c r="B536" t="s">
        <v>11</v>
      </c>
      <c r="C536" t="s">
        <v>12</v>
      </c>
      <c r="D536" t="s">
        <v>36</v>
      </c>
      <c r="E536" t="s">
        <v>37</v>
      </c>
      <c r="F536" t="s">
        <v>38</v>
      </c>
      <c r="G536" t="s">
        <v>38</v>
      </c>
      <c r="H536"/>
      <c r="I536"/>
      <c r="J536"/>
      <c r="K536" t="s">
        <v>3807</v>
      </c>
      <c r="L536">
        <v>332</v>
      </c>
      <c r="M536" t="s">
        <v>2075</v>
      </c>
    </row>
    <row r="537" spans="1:13" ht="15" x14ac:dyDescent="0.25">
      <c r="A537" t="s">
        <v>430</v>
      </c>
      <c r="B537" t="s">
        <v>11</v>
      </c>
      <c r="C537" t="s">
        <v>12</v>
      </c>
      <c r="D537" t="s">
        <v>13</v>
      </c>
      <c r="E537" t="s">
        <v>14</v>
      </c>
      <c r="F537" t="s">
        <v>431</v>
      </c>
      <c r="G537" t="s">
        <v>432</v>
      </c>
      <c r="H537"/>
      <c r="I537"/>
      <c r="J537"/>
      <c r="K537" t="s">
        <v>3808</v>
      </c>
      <c r="L537">
        <v>6581</v>
      </c>
      <c r="M537" t="s">
        <v>2719</v>
      </c>
    </row>
    <row r="538" spans="1:13" ht="15" x14ac:dyDescent="0.25">
      <c r="A538" t="s">
        <v>559</v>
      </c>
      <c r="B538" t="s">
        <v>11</v>
      </c>
      <c r="C538" t="s">
        <v>12</v>
      </c>
      <c r="D538" t="s">
        <v>24</v>
      </c>
      <c r="E538" t="s">
        <v>25</v>
      </c>
      <c r="F538" t="s">
        <v>388</v>
      </c>
      <c r="G538" t="s">
        <v>389</v>
      </c>
      <c r="H538"/>
      <c r="I538"/>
      <c r="J538"/>
      <c r="K538" t="s">
        <v>3809</v>
      </c>
      <c r="L538">
        <v>5282754</v>
      </c>
      <c r="M538" t="s">
        <v>2720</v>
      </c>
    </row>
    <row r="539" spans="1:13" ht="15" x14ac:dyDescent="0.25">
      <c r="A539" t="s">
        <v>495</v>
      </c>
      <c r="B539" t="s">
        <v>11</v>
      </c>
      <c r="C539" t="s">
        <v>12</v>
      </c>
      <c r="D539" t="s">
        <v>24</v>
      </c>
      <c r="E539" t="s">
        <v>25</v>
      </c>
      <c r="F539" t="s">
        <v>489</v>
      </c>
      <c r="G539" t="s">
        <v>489</v>
      </c>
      <c r="H539"/>
      <c r="I539"/>
      <c r="J539"/>
      <c r="K539" t="s">
        <v>3810</v>
      </c>
      <c r="L539">
        <v>31283</v>
      </c>
      <c r="M539" t="s">
        <v>2721</v>
      </c>
    </row>
    <row r="540" spans="1:13" ht="15" x14ac:dyDescent="0.25">
      <c r="A540" t="s">
        <v>498</v>
      </c>
      <c r="B540" t="s">
        <v>11</v>
      </c>
      <c r="C540" t="s">
        <v>12</v>
      </c>
      <c r="D540" t="s">
        <v>24</v>
      </c>
      <c r="E540" t="s">
        <v>25</v>
      </c>
      <c r="F540" t="s">
        <v>489</v>
      </c>
      <c r="G540" t="s">
        <v>489</v>
      </c>
      <c r="H540"/>
      <c r="I540"/>
      <c r="J540"/>
      <c r="K540" t="s">
        <v>3811</v>
      </c>
      <c r="L540">
        <v>7800</v>
      </c>
      <c r="M540" t="s">
        <v>2722</v>
      </c>
    </row>
    <row r="541" spans="1:13" ht="15" x14ac:dyDescent="0.25">
      <c r="A541" t="s">
        <v>406</v>
      </c>
      <c r="B541" t="s">
        <v>11</v>
      </c>
      <c r="C541" t="s">
        <v>12</v>
      </c>
      <c r="D541" t="s">
        <v>36</v>
      </c>
      <c r="E541" t="s">
        <v>44</v>
      </c>
      <c r="F541" t="s">
        <v>370</v>
      </c>
      <c r="G541" t="s">
        <v>391</v>
      </c>
      <c r="H541"/>
      <c r="I541"/>
      <c r="J541"/>
      <c r="K541" t="s">
        <v>3812</v>
      </c>
      <c r="L541">
        <v>20393</v>
      </c>
      <c r="M541" t="s">
        <v>2723</v>
      </c>
    </row>
    <row r="542" spans="1:13" ht="15" x14ac:dyDescent="0.25">
      <c r="A542" t="s">
        <v>452</v>
      </c>
      <c r="B542" t="s">
        <v>11</v>
      </c>
      <c r="C542" t="s">
        <v>12</v>
      </c>
      <c r="D542" t="s">
        <v>111</v>
      </c>
      <c r="E542" t="s">
        <v>304</v>
      </c>
      <c r="F542" t="s">
        <v>305</v>
      </c>
      <c r="G542" t="s">
        <v>411</v>
      </c>
      <c r="H542" t="s">
        <v>412</v>
      </c>
      <c r="I542"/>
      <c r="J542"/>
      <c r="K542" t="s">
        <v>3813</v>
      </c>
      <c r="L542">
        <v>676946</v>
      </c>
      <c r="M542" t="s">
        <v>2724</v>
      </c>
    </row>
    <row r="543" spans="1:13" ht="15" x14ac:dyDescent="0.25">
      <c r="A543" t="s">
        <v>1194</v>
      </c>
      <c r="B543" t="s">
        <v>11</v>
      </c>
      <c r="C543" t="s">
        <v>12</v>
      </c>
      <c r="D543" t="s">
        <v>228</v>
      </c>
      <c r="E543" t="s">
        <v>233</v>
      </c>
      <c r="F543" t="s">
        <v>692</v>
      </c>
      <c r="G543" t="s">
        <v>692</v>
      </c>
      <c r="H543"/>
      <c r="I543"/>
      <c r="J543"/>
      <c r="K543" t="s">
        <v>3814</v>
      </c>
      <c r="L543">
        <v>5362810</v>
      </c>
      <c r="M543" t="s">
        <v>1242</v>
      </c>
    </row>
    <row r="544" spans="1:13" ht="15" x14ac:dyDescent="0.25">
      <c r="A544" t="s">
        <v>1258</v>
      </c>
      <c r="B544" t="s">
        <v>11</v>
      </c>
      <c r="C544" t="s">
        <v>12</v>
      </c>
      <c r="D544" t="s">
        <v>101</v>
      </c>
      <c r="E544" t="s">
        <v>1259</v>
      </c>
      <c r="F544" t="s">
        <v>1260</v>
      </c>
      <c r="G544" t="s">
        <v>1261</v>
      </c>
      <c r="H544"/>
      <c r="I544"/>
      <c r="J544"/>
      <c r="K544" t="s">
        <v>3815</v>
      </c>
      <c r="L544">
        <v>555844</v>
      </c>
      <c r="M544" t="s">
        <v>1501</v>
      </c>
    </row>
    <row r="545" spans="1:13" ht="15" x14ac:dyDescent="0.25">
      <c r="A545" t="s">
        <v>1305</v>
      </c>
      <c r="B545" t="s">
        <v>11</v>
      </c>
      <c r="C545" t="s">
        <v>12</v>
      </c>
      <c r="D545" t="s">
        <v>1306</v>
      </c>
      <c r="E545" t="s">
        <v>1307</v>
      </c>
      <c r="F545"/>
      <c r="G545" t="s">
        <v>1307</v>
      </c>
      <c r="H545"/>
      <c r="I545"/>
      <c r="J545"/>
      <c r="K545" t="s">
        <v>3816</v>
      </c>
      <c r="L545">
        <v>11588</v>
      </c>
      <c r="M545" t="s">
        <v>1516</v>
      </c>
    </row>
    <row r="546" spans="1:13" ht="15" x14ac:dyDescent="0.25">
      <c r="A546" t="s">
        <v>1398</v>
      </c>
      <c r="B546" t="s">
        <v>11</v>
      </c>
      <c r="C546" t="s">
        <v>12</v>
      </c>
      <c r="D546" t="s">
        <v>228</v>
      </c>
      <c r="E546" t="s">
        <v>233</v>
      </c>
      <c r="F546" t="s">
        <v>1399</v>
      </c>
      <c r="G546" t="s">
        <v>1399</v>
      </c>
      <c r="H546"/>
      <c r="I546"/>
      <c r="J546"/>
      <c r="K546" t="s">
        <v>3817</v>
      </c>
      <c r="L546">
        <v>568888</v>
      </c>
      <c r="M546" t="s">
        <v>1546</v>
      </c>
    </row>
    <row r="547" spans="1:13" ht="15" x14ac:dyDescent="0.25">
      <c r="A547" t="s">
        <v>1336</v>
      </c>
      <c r="B547" t="s">
        <v>11</v>
      </c>
      <c r="C547" t="s">
        <v>12</v>
      </c>
      <c r="D547" t="s">
        <v>36</v>
      </c>
      <c r="E547" t="s">
        <v>44</v>
      </c>
      <c r="F547" t="s">
        <v>370</v>
      </c>
      <c r="G547" t="s">
        <v>370</v>
      </c>
      <c r="H547"/>
      <c r="I547"/>
      <c r="J547"/>
      <c r="K547" t="s">
        <v>3818</v>
      </c>
      <c r="L547">
        <v>5331913</v>
      </c>
      <c r="M547" t="s">
        <v>2725</v>
      </c>
    </row>
    <row r="548" spans="1:13" ht="15" x14ac:dyDescent="0.25">
      <c r="A548" t="s">
        <v>325</v>
      </c>
      <c r="B548" t="s">
        <v>11</v>
      </c>
      <c r="C548" t="s">
        <v>12</v>
      </c>
      <c r="D548" t="s">
        <v>36</v>
      </c>
      <c r="E548" t="s">
        <v>44</v>
      </c>
      <c r="F548"/>
      <c r="G548" t="s">
        <v>44</v>
      </c>
      <c r="H548"/>
      <c r="I548"/>
      <c r="J548"/>
      <c r="K548" t="s">
        <v>3819</v>
      </c>
      <c r="L548">
        <v>10821</v>
      </c>
      <c r="M548" t="s">
        <v>2726</v>
      </c>
    </row>
    <row r="549" spans="1:13" ht="15" x14ac:dyDescent="0.25">
      <c r="A549" t="s">
        <v>1005</v>
      </c>
      <c r="B549" t="s">
        <v>11</v>
      </c>
      <c r="C549" t="s">
        <v>12</v>
      </c>
      <c r="D549" t="s">
        <v>36</v>
      </c>
      <c r="E549" t="s">
        <v>44</v>
      </c>
      <c r="F549" t="s">
        <v>242</v>
      </c>
      <c r="G549" t="s">
        <v>242</v>
      </c>
      <c r="H549"/>
      <c r="I549"/>
      <c r="J549"/>
      <c r="K549" t="s">
        <v>3820</v>
      </c>
      <c r="L549">
        <v>12166</v>
      </c>
      <c r="M549" t="s">
        <v>2727</v>
      </c>
    </row>
    <row r="550" spans="1:13" ht="15" x14ac:dyDescent="0.25">
      <c r="A550" t="s">
        <v>1396</v>
      </c>
      <c r="B550" t="s">
        <v>11</v>
      </c>
      <c r="C550" t="s">
        <v>12</v>
      </c>
      <c r="D550" t="s">
        <v>36</v>
      </c>
      <c r="E550" t="s">
        <v>44</v>
      </c>
      <c r="F550"/>
      <c r="G550" t="s">
        <v>44</v>
      </c>
      <c r="H550"/>
      <c r="I550"/>
      <c r="J550"/>
      <c r="K550" t="s">
        <v>3821</v>
      </c>
      <c r="L550">
        <v>7511</v>
      </c>
      <c r="M550" t="s">
        <v>2728</v>
      </c>
    </row>
    <row r="551" spans="1:13" ht="15" x14ac:dyDescent="0.25">
      <c r="A551" t="s">
        <v>648</v>
      </c>
      <c r="B551" t="s">
        <v>11</v>
      </c>
      <c r="C551" t="s">
        <v>12</v>
      </c>
      <c r="D551" t="s">
        <v>24</v>
      </c>
      <c r="E551" t="s">
        <v>25</v>
      </c>
      <c r="F551" t="s">
        <v>388</v>
      </c>
      <c r="G551" t="s">
        <v>581</v>
      </c>
      <c r="H551"/>
      <c r="I551"/>
      <c r="J551"/>
      <c r="K551" t="s">
        <v>3822</v>
      </c>
      <c r="L551">
        <v>61138</v>
      </c>
      <c r="M551" t="s">
        <v>2729</v>
      </c>
    </row>
    <row r="552" spans="1:13" ht="15" x14ac:dyDescent="0.25">
      <c r="A552" t="s">
        <v>1891</v>
      </c>
      <c r="B552" t="s">
        <v>11</v>
      </c>
      <c r="C552" t="s">
        <v>12</v>
      </c>
      <c r="D552" t="s">
        <v>111</v>
      </c>
      <c r="E552" t="s">
        <v>304</v>
      </c>
      <c r="F552" t="s">
        <v>305</v>
      </c>
      <c r="G552" t="s">
        <v>306</v>
      </c>
      <c r="H552"/>
      <c r="I552"/>
      <c r="J552"/>
      <c r="K552" t="s">
        <v>3823</v>
      </c>
      <c r="L552">
        <v>637541</v>
      </c>
      <c r="M552" t="s">
        <v>2730</v>
      </c>
    </row>
    <row r="553" spans="1:13" ht="15" x14ac:dyDescent="0.25">
      <c r="A553" t="s">
        <v>369</v>
      </c>
      <c r="B553" t="s">
        <v>11</v>
      </c>
      <c r="C553" t="s">
        <v>12</v>
      </c>
      <c r="D553" t="s">
        <v>36</v>
      </c>
      <c r="E553" t="s">
        <v>44</v>
      </c>
      <c r="F553" t="s">
        <v>370</v>
      </c>
      <c r="G553" t="s">
        <v>371</v>
      </c>
      <c r="H553" t="s">
        <v>372</v>
      </c>
      <c r="I553"/>
      <c r="J553"/>
      <c r="K553" t="s">
        <v>3824</v>
      </c>
      <c r="L553">
        <v>8496</v>
      </c>
      <c r="M553" t="s">
        <v>2731</v>
      </c>
    </row>
    <row r="554" spans="1:13" ht="15" x14ac:dyDescent="0.25">
      <c r="A554" t="s">
        <v>64</v>
      </c>
      <c r="B554" t="s">
        <v>11</v>
      </c>
      <c r="C554" t="s">
        <v>12</v>
      </c>
      <c r="D554" t="s">
        <v>29</v>
      </c>
      <c r="E554" t="s">
        <v>30</v>
      </c>
      <c r="F554" t="s">
        <v>31</v>
      </c>
      <c r="G554" t="s">
        <v>32</v>
      </c>
      <c r="H554"/>
      <c r="I554"/>
      <c r="J554"/>
      <c r="K554" t="s">
        <v>3825</v>
      </c>
      <c r="L554">
        <v>7858</v>
      </c>
      <c r="M554" t="s">
        <v>2732</v>
      </c>
    </row>
    <row r="555" spans="1:13" ht="15" x14ac:dyDescent="0.25">
      <c r="A555" t="s">
        <v>1481</v>
      </c>
      <c r="B555" t="s">
        <v>11</v>
      </c>
      <c r="C555" t="s">
        <v>12</v>
      </c>
      <c r="D555" t="s">
        <v>36</v>
      </c>
      <c r="E555" t="s">
        <v>1017</v>
      </c>
      <c r="F555" t="s">
        <v>1018</v>
      </c>
      <c r="G555" t="s">
        <v>1018</v>
      </c>
      <c r="H555"/>
      <c r="I555"/>
      <c r="J555"/>
      <c r="K555" t="s">
        <v>3826</v>
      </c>
      <c r="L555">
        <v>10208</v>
      </c>
      <c r="M555" t="s">
        <v>1569</v>
      </c>
    </row>
    <row r="556" spans="1:13" ht="15" x14ac:dyDescent="0.25">
      <c r="A556" t="s">
        <v>213</v>
      </c>
      <c r="B556" t="s">
        <v>11</v>
      </c>
      <c r="C556" t="s">
        <v>12</v>
      </c>
      <c r="D556" t="s">
        <v>29</v>
      </c>
      <c r="E556" t="s">
        <v>30</v>
      </c>
      <c r="F556" t="s">
        <v>105</v>
      </c>
      <c r="G556" t="s">
        <v>114</v>
      </c>
      <c r="H556" t="s">
        <v>214</v>
      </c>
      <c r="I556"/>
      <c r="J556"/>
      <c r="K556" t="s">
        <v>3827</v>
      </c>
      <c r="L556">
        <v>177</v>
      </c>
      <c r="M556" t="s">
        <v>2733</v>
      </c>
    </row>
    <row r="557" spans="1:13" ht="15" x14ac:dyDescent="0.25">
      <c r="A557" t="s">
        <v>1032</v>
      </c>
      <c r="B557" t="s">
        <v>11</v>
      </c>
      <c r="C557" t="s">
        <v>12</v>
      </c>
      <c r="D557" t="s">
        <v>29</v>
      </c>
      <c r="E557" t="s">
        <v>30</v>
      </c>
      <c r="F557" t="s">
        <v>105</v>
      </c>
      <c r="G557" t="s">
        <v>106</v>
      </c>
      <c r="H557" t="s">
        <v>107</v>
      </c>
      <c r="I557" t="s">
        <v>108</v>
      </c>
      <c r="J557" t="s">
        <v>109</v>
      </c>
      <c r="K557" t="s">
        <v>3828</v>
      </c>
      <c r="L557">
        <v>11460</v>
      </c>
      <c r="M557" t="s">
        <v>2734</v>
      </c>
    </row>
    <row r="558" spans="1:13" ht="15" x14ac:dyDescent="0.25">
      <c r="A558" t="s">
        <v>1956</v>
      </c>
      <c r="B558" t="s">
        <v>11</v>
      </c>
      <c r="C558" t="s">
        <v>12</v>
      </c>
      <c r="D558" t="s">
        <v>24</v>
      </c>
      <c r="E558" t="s">
        <v>54</v>
      </c>
      <c r="F558" t="s">
        <v>60</v>
      </c>
      <c r="G558" t="s">
        <v>127</v>
      </c>
      <c r="H558"/>
      <c r="I558"/>
      <c r="J558"/>
      <c r="K558" t="s">
        <v>3829</v>
      </c>
      <c r="L558">
        <v>6432005</v>
      </c>
      <c r="M558" t="s">
        <v>2735</v>
      </c>
    </row>
    <row r="559" spans="1:13" ht="15" x14ac:dyDescent="0.25">
      <c r="A559" t="s">
        <v>126</v>
      </c>
      <c r="B559" t="s">
        <v>11</v>
      </c>
      <c r="C559" t="s">
        <v>12</v>
      </c>
      <c r="D559" t="s">
        <v>24</v>
      </c>
      <c r="E559" t="s">
        <v>54</v>
      </c>
      <c r="F559" t="s">
        <v>60</v>
      </c>
      <c r="G559" t="s">
        <v>127</v>
      </c>
      <c r="H559"/>
      <c r="I559"/>
      <c r="J559"/>
      <c r="K559" t="s">
        <v>3830</v>
      </c>
      <c r="L559">
        <v>92762</v>
      </c>
      <c r="M559" t="s">
        <v>2736</v>
      </c>
    </row>
    <row r="560" spans="1:13" ht="15" x14ac:dyDescent="0.25">
      <c r="A560" t="s">
        <v>2384</v>
      </c>
      <c r="B560" t="s">
        <v>11</v>
      </c>
      <c r="C560" t="s">
        <v>12</v>
      </c>
      <c r="D560" t="s">
        <v>29</v>
      </c>
      <c r="E560" t="s">
        <v>30</v>
      </c>
      <c r="F560" t="s">
        <v>105</v>
      </c>
      <c r="G560" t="s">
        <v>106</v>
      </c>
      <c r="H560" t="s">
        <v>107</v>
      </c>
      <c r="I560" t="s">
        <v>108</v>
      </c>
      <c r="J560" t="s">
        <v>109</v>
      </c>
      <c r="K560" t="s">
        <v>3831</v>
      </c>
      <c r="L560">
        <v>75766</v>
      </c>
      <c r="M560" t="s">
        <v>2737</v>
      </c>
    </row>
    <row r="561" spans="1:13" ht="15" x14ac:dyDescent="0.25">
      <c r="A561" t="s">
        <v>195</v>
      </c>
      <c r="B561" t="s">
        <v>11</v>
      </c>
      <c r="C561" t="s">
        <v>12</v>
      </c>
      <c r="D561" t="s">
        <v>29</v>
      </c>
      <c r="E561" t="s">
        <v>30</v>
      </c>
      <c r="F561" t="s">
        <v>105</v>
      </c>
      <c r="G561" t="s">
        <v>158</v>
      </c>
      <c r="H561" t="s">
        <v>159</v>
      </c>
      <c r="I561" t="s">
        <v>160</v>
      </c>
      <c r="J561"/>
      <c r="K561" t="s">
        <v>3832</v>
      </c>
      <c r="L561">
        <v>7847</v>
      </c>
      <c r="M561" t="s">
        <v>2738</v>
      </c>
    </row>
    <row r="562" spans="1:13" ht="15" x14ac:dyDescent="0.25">
      <c r="A562" t="s">
        <v>687</v>
      </c>
      <c r="B562" t="s">
        <v>11</v>
      </c>
      <c r="C562" t="s">
        <v>12</v>
      </c>
      <c r="D562" t="s">
        <v>101</v>
      </c>
      <c r="E562" t="s">
        <v>688</v>
      </c>
      <c r="F562"/>
      <c r="G562" t="s">
        <v>688</v>
      </c>
      <c r="H562"/>
      <c r="I562"/>
      <c r="J562"/>
      <c r="K562" t="s">
        <v>3833</v>
      </c>
      <c r="L562">
        <v>9223</v>
      </c>
      <c r="M562" t="s">
        <v>859</v>
      </c>
    </row>
    <row r="563" spans="1:13" ht="15" x14ac:dyDescent="0.25">
      <c r="A563" t="s">
        <v>312</v>
      </c>
      <c r="B563" t="s">
        <v>11</v>
      </c>
      <c r="C563" t="s">
        <v>12</v>
      </c>
      <c r="D563" t="s">
        <v>101</v>
      </c>
      <c r="E563" t="s">
        <v>313</v>
      </c>
      <c r="F563" t="s">
        <v>314</v>
      </c>
      <c r="G563" t="s">
        <v>315</v>
      </c>
      <c r="H563"/>
      <c r="I563"/>
      <c r="J563"/>
      <c r="K563" t="s">
        <v>3834</v>
      </c>
      <c r="L563">
        <v>68958</v>
      </c>
      <c r="M563" t="s">
        <v>2739</v>
      </c>
    </row>
    <row r="564" spans="1:13" ht="15" x14ac:dyDescent="0.25">
      <c r="A564" t="s">
        <v>1622</v>
      </c>
      <c r="B564" t="s">
        <v>11</v>
      </c>
      <c r="C564" t="s">
        <v>12</v>
      </c>
      <c r="D564" t="s">
        <v>111</v>
      </c>
      <c r="E564" t="s">
        <v>120</v>
      </c>
      <c r="F564" t="s">
        <v>1592</v>
      </c>
      <c r="G564" t="s">
        <v>1620</v>
      </c>
      <c r="H564"/>
      <c r="I564"/>
      <c r="J564"/>
      <c r="K564" t="s">
        <v>3835</v>
      </c>
      <c r="L564">
        <v>5320438</v>
      </c>
      <c r="M564" t="s">
        <v>2014</v>
      </c>
    </row>
    <row r="565" spans="1:13" ht="15" x14ac:dyDescent="0.25">
      <c r="A565" t="s">
        <v>1484</v>
      </c>
      <c r="B565" t="s">
        <v>11</v>
      </c>
      <c r="C565" t="s">
        <v>12</v>
      </c>
      <c r="D565" t="s">
        <v>36</v>
      </c>
      <c r="E565" t="s">
        <v>1017</v>
      </c>
      <c r="F565" t="s">
        <v>1018</v>
      </c>
      <c r="G565" t="s">
        <v>1018</v>
      </c>
      <c r="H565"/>
      <c r="I565"/>
      <c r="J565"/>
      <c r="K565" t="s">
        <v>3836</v>
      </c>
      <c r="L565">
        <v>10639</v>
      </c>
      <c r="M565" t="s">
        <v>2740</v>
      </c>
    </row>
    <row r="566" spans="1:13" ht="15" x14ac:dyDescent="0.25">
      <c r="A566" t="s">
        <v>1031</v>
      </c>
      <c r="B566" t="s">
        <v>11</v>
      </c>
      <c r="C566" t="s">
        <v>12</v>
      </c>
      <c r="D566" t="s">
        <v>29</v>
      </c>
      <c r="E566" t="s">
        <v>30</v>
      </c>
      <c r="F566" t="s">
        <v>105</v>
      </c>
      <c r="G566" t="s">
        <v>106</v>
      </c>
      <c r="H566" t="s">
        <v>107</v>
      </c>
      <c r="I566" t="s">
        <v>108</v>
      </c>
      <c r="J566" t="s">
        <v>109</v>
      </c>
      <c r="K566" t="s">
        <v>3837</v>
      </c>
      <c r="L566">
        <v>7469</v>
      </c>
      <c r="M566" t="s">
        <v>2741</v>
      </c>
    </row>
    <row r="567" spans="1:13" ht="15" x14ac:dyDescent="0.25">
      <c r="A567" t="s">
        <v>1455</v>
      </c>
      <c r="B567" t="s">
        <v>11</v>
      </c>
      <c r="C567" t="s">
        <v>12</v>
      </c>
      <c r="D567" t="s">
        <v>13</v>
      </c>
      <c r="E567" t="s">
        <v>14</v>
      </c>
      <c r="F567" t="s">
        <v>15</v>
      </c>
      <c r="G567" t="s">
        <v>16</v>
      </c>
      <c r="H567"/>
      <c r="I567"/>
      <c r="J567"/>
      <c r="K567" t="s">
        <v>3838</v>
      </c>
      <c r="L567">
        <v>12209</v>
      </c>
      <c r="M567" t="s">
        <v>1561</v>
      </c>
    </row>
    <row r="568" spans="1:13" ht="15" x14ac:dyDescent="0.25">
      <c r="A568" t="s">
        <v>1783</v>
      </c>
      <c r="B568" t="s">
        <v>11</v>
      </c>
      <c r="C568" t="s">
        <v>12</v>
      </c>
      <c r="D568" t="s">
        <v>13</v>
      </c>
      <c r="E568" t="s">
        <v>14</v>
      </c>
      <c r="F568" t="s">
        <v>15</v>
      </c>
      <c r="G568" t="s">
        <v>16</v>
      </c>
      <c r="H568"/>
      <c r="I568"/>
      <c r="J568"/>
      <c r="K568" t="s">
        <v>3839</v>
      </c>
      <c r="L568">
        <v>7351</v>
      </c>
      <c r="M568" t="s">
        <v>2072</v>
      </c>
    </row>
    <row r="569" spans="1:13" ht="15" x14ac:dyDescent="0.25">
      <c r="A569" t="s">
        <v>449</v>
      </c>
      <c r="B569" t="s">
        <v>11</v>
      </c>
      <c r="C569" t="s">
        <v>12</v>
      </c>
      <c r="D569" t="s">
        <v>13</v>
      </c>
      <c r="E569" t="s">
        <v>14</v>
      </c>
      <c r="F569" t="s">
        <v>15</v>
      </c>
      <c r="G569" t="s">
        <v>16</v>
      </c>
      <c r="H569"/>
      <c r="I569"/>
      <c r="J569"/>
      <c r="K569" t="s">
        <v>3840</v>
      </c>
      <c r="L569">
        <v>78879</v>
      </c>
      <c r="M569" t="s">
        <v>793</v>
      </c>
    </row>
    <row r="570" spans="1:13" ht="15" x14ac:dyDescent="0.25">
      <c r="A570" t="s">
        <v>48</v>
      </c>
      <c r="B570" t="s">
        <v>11</v>
      </c>
      <c r="C570" t="s">
        <v>12</v>
      </c>
      <c r="D570" t="s">
        <v>29</v>
      </c>
      <c r="E570" t="s">
        <v>30</v>
      </c>
      <c r="F570" t="s">
        <v>31</v>
      </c>
      <c r="G570" t="s">
        <v>32</v>
      </c>
      <c r="H570"/>
      <c r="I570"/>
      <c r="J570"/>
      <c r="K570" t="s">
        <v>3841</v>
      </c>
      <c r="L570">
        <v>12988</v>
      </c>
      <c r="M570" t="s">
        <v>2742</v>
      </c>
    </row>
    <row r="571" spans="1:13" ht="15" x14ac:dyDescent="0.25">
      <c r="A571" t="s">
        <v>494</v>
      </c>
      <c r="B571" t="s">
        <v>11</v>
      </c>
      <c r="C571" t="s">
        <v>12</v>
      </c>
      <c r="D571" t="s">
        <v>24</v>
      </c>
      <c r="E571" t="s">
        <v>25</v>
      </c>
      <c r="F571" t="s">
        <v>489</v>
      </c>
      <c r="G571" t="s">
        <v>489</v>
      </c>
      <c r="H571"/>
      <c r="I571"/>
      <c r="J571"/>
      <c r="K571" t="s">
        <v>3842</v>
      </c>
      <c r="L571">
        <v>7795</v>
      </c>
      <c r="M571" t="s">
        <v>2743</v>
      </c>
    </row>
    <row r="572" spans="1:13" ht="15" x14ac:dyDescent="0.25">
      <c r="A572" t="s">
        <v>98</v>
      </c>
      <c r="B572" t="s">
        <v>11</v>
      </c>
      <c r="C572" t="s">
        <v>12</v>
      </c>
      <c r="D572" t="s">
        <v>29</v>
      </c>
      <c r="E572" t="s">
        <v>30</v>
      </c>
      <c r="F572" t="s">
        <v>31</v>
      </c>
      <c r="G572" t="s">
        <v>32</v>
      </c>
      <c r="H572"/>
      <c r="I572"/>
      <c r="J572"/>
      <c r="K572" t="s">
        <v>3843</v>
      </c>
      <c r="L572">
        <v>11173</v>
      </c>
      <c r="M572" t="s">
        <v>2744</v>
      </c>
    </row>
    <row r="573" spans="1:13" ht="15" x14ac:dyDescent="0.25">
      <c r="A573" t="s">
        <v>428</v>
      </c>
      <c r="B573" t="s">
        <v>11</v>
      </c>
      <c r="C573" t="s">
        <v>12</v>
      </c>
      <c r="D573" t="s">
        <v>13</v>
      </c>
      <c r="E573" t="s">
        <v>14</v>
      </c>
      <c r="F573" t="s">
        <v>429</v>
      </c>
      <c r="G573" t="s">
        <v>429</v>
      </c>
      <c r="H573"/>
      <c r="I573"/>
      <c r="J573"/>
      <c r="K573" t="s">
        <v>3844</v>
      </c>
      <c r="L573">
        <v>176</v>
      </c>
      <c r="M573" t="s">
        <v>787</v>
      </c>
    </row>
    <row r="574" spans="1:13" ht="15" x14ac:dyDescent="0.25">
      <c r="A574" t="s">
        <v>2170</v>
      </c>
      <c r="B574" t="s">
        <v>11</v>
      </c>
      <c r="C574" t="s">
        <v>12</v>
      </c>
      <c r="D574" t="s">
        <v>24</v>
      </c>
      <c r="E574" t="s">
        <v>54</v>
      </c>
      <c r="F574" t="s">
        <v>55</v>
      </c>
      <c r="G574" t="s">
        <v>58</v>
      </c>
      <c r="H574"/>
      <c r="I574"/>
      <c r="J574"/>
      <c r="K574" t="s">
        <v>3845</v>
      </c>
      <c r="L574">
        <v>8294</v>
      </c>
      <c r="M574" t="s">
        <v>2308</v>
      </c>
    </row>
    <row r="575" spans="1:13" ht="15" x14ac:dyDescent="0.25">
      <c r="A575" t="s">
        <v>1488</v>
      </c>
      <c r="B575" t="s">
        <v>11</v>
      </c>
      <c r="C575" t="s">
        <v>12</v>
      </c>
      <c r="D575" t="s">
        <v>36</v>
      </c>
      <c r="E575" t="s">
        <v>44</v>
      </c>
      <c r="F575" t="s">
        <v>370</v>
      </c>
      <c r="G575" t="s">
        <v>391</v>
      </c>
      <c r="H575"/>
      <c r="I575"/>
      <c r="J575"/>
      <c r="K575" t="s">
        <v>3846</v>
      </c>
      <c r="L575">
        <v>7150</v>
      </c>
      <c r="M575" t="s">
        <v>1572</v>
      </c>
    </row>
    <row r="576" spans="1:13" ht="15" x14ac:dyDescent="0.25">
      <c r="A576" t="s">
        <v>490</v>
      </c>
      <c r="B576" t="s">
        <v>11</v>
      </c>
      <c r="C576" t="s">
        <v>12</v>
      </c>
      <c r="D576" t="s">
        <v>24</v>
      </c>
      <c r="E576" t="s">
        <v>25</v>
      </c>
      <c r="F576" t="s">
        <v>388</v>
      </c>
      <c r="G576" t="s">
        <v>491</v>
      </c>
      <c r="H576" t="s">
        <v>492</v>
      </c>
      <c r="I576"/>
      <c r="J576"/>
      <c r="K576" t="s">
        <v>3847</v>
      </c>
      <c r="L576">
        <v>8314</v>
      </c>
      <c r="M576" t="s">
        <v>802</v>
      </c>
    </row>
    <row r="577" spans="1:13" ht="15" x14ac:dyDescent="0.25">
      <c r="A577" t="s">
        <v>365</v>
      </c>
      <c r="B577" t="s">
        <v>11</v>
      </c>
      <c r="C577" t="s">
        <v>12</v>
      </c>
      <c r="D577" t="s">
        <v>36</v>
      </c>
      <c r="E577" t="s">
        <v>44</v>
      </c>
      <c r="F577" t="s">
        <v>366</v>
      </c>
      <c r="G577" t="s">
        <v>366</v>
      </c>
      <c r="H577"/>
      <c r="I577"/>
      <c r="J577"/>
      <c r="K577" t="s">
        <v>3848</v>
      </c>
      <c r="L577">
        <v>8785</v>
      </c>
      <c r="M577" t="s">
        <v>769</v>
      </c>
    </row>
    <row r="578" spans="1:13" ht="15" x14ac:dyDescent="0.25">
      <c r="A578" t="s">
        <v>2385</v>
      </c>
      <c r="B578" t="s">
        <v>11</v>
      </c>
      <c r="C578" t="s">
        <v>19</v>
      </c>
      <c r="D578" t="s">
        <v>20</v>
      </c>
      <c r="E578" t="s">
        <v>21</v>
      </c>
      <c r="F578" t="s">
        <v>22</v>
      </c>
      <c r="G578" t="s">
        <v>22</v>
      </c>
      <c r="H578"/>
      <c r="I578"/>
      <c r="J578"/>
      <c r="K578" t="s">
        <v>3849</v>
      </c>
      <c r="L578">
        <v>1061</v>
      </c>
      <c r="M578" t="s">
        <v>2745</v>
      </c>
    </row>
    <row r="579" spans="1:13" ht="15" x14ac:dyDescent="0.25">
      <c r="A579" t="s">
        <v>937</v>
      </c>
      <c r="B579" t="s">
        <v>11</v>
      </c>
      <c r="C579" t="s">
        <v>12</v>
      </c>
      <c r="D579" t="s">
        <v>24</v>
      </c>
      <c r="E579" t="s">
        <v>54</v>
      </c>
      <c r="F579" t="s">
        <v>60</v>
      </c>
      <c r="G579" t="s">
        <v>60</v>
      </c>
      <c r="H579"/>
      <c r="I579"/>
      <c r="J579"/>
      <c r="K579" t="s">
        <v>3850</v>
      </c>
      <c r="L579">
        <v>6097621</v>
      </c>
      <c r="M579" t="s">
        <v>2323</v>
      </c>
    </row>
    <row r="580" spans="1:13" ht="15" x14ac:dyDescent="0.25">
      <c r="A580" t="s">
        <v>1812</v>
      </c>
      <c r="B580" t="s">
        <v>11</v>
      </c>
      <c r="C580" t="s">
        <v>12</v>
      </c>
      <c r="D580" t="s">
        <v>36</v>
      </c>
      <c r="E580" t="s">
        <v>44</v>
      </c>
      <c r="F580" t="s">
        <v>370</v>
      </c>
      <c r="G580" t="s">
        <v>1171</v>
      </c>
      <c r="H580" t="s">
        <v>1813</v>
      </c>
      <c r="I580"/>
      <c r="J580"/>
      <c r="K580" t="s">
        <v>3851</v>
      </c>
      <c r="L580">
        <v>584904</v>
      </c>
      <c r="M580" t="s">
        <v>2083</v>
      </c>
    </row>
    <row r="581" spans="1:13" ht="15" x14ac:dyDescent="0.25">
      <c r="A581" t="s">
        <v>1837</v>
      </c>
      <c r="B581" t="s">
        <v>11</v>
      </c>
      <c r="C581" t="s">
        <v>12</v>
      </c>
      <c r="D581" t="s">
        <v>36</v>
      </c>
      <c r="E581" t="s">
        <v>44</v>
      </c>
      <c r="F581" t="s">
        <v>137</v>
      </c>
      <c r="G581" t="s">
        <v>137</v>
      </c>
      <c r="H581"/>
      <c r="I581"/>
      <c r="J581"/>
      <c r="K581" t="s">
        <v>3852</v>
      </c>
      <c r="L581">
        <v>129864321</v>
      </c>
      <c r="M581" t="s">
        <v>2088</v>
      </c>
    </row>
    <row r="582" spans="1:13" ht="15" x14ac:dyDescent="0.25">
      <c r="A582" t="s">
        <v>1394</v>
      </c>
      <c r="B582" t="s">
        <v>1395</v>
      </c>
      <c r="C582"/>
      <c r="D582"/>
      <c r="E582"/>
      <c r="F582"/>
      <c r="G582"/>
      <c r="H582"/>
      <c r="I582"/>
      <c r="J582"/>
      <c r="K582" t="s">
        <v>3853</v>
      </c>
      <c r="L582">
        <v>68146761</v>
      </c>
      <c r="M582" t="s">
        <v>1545</v>
      </c>
    </row>
    <row r="583" spans="1:13" ht="15" x14ac:dyDescent="0.25">
      <c r="A583" t="s">
        <v>39</v>
      </c>
      <c r="B583" t="s">
        <v>11</v>
      </c>
      <c r="C583" t="s">
        <v>12</v>
      </c>
      <c r="D583" t="s">
        <v>29</v>
      </c>
      <c r="E583" t="s">
        <v>30</v>
      </c>
      <c r="F583" t="s">
        <v>40</v>
      </c>
      <c r="G583" t="s">
        <v>41</v>
      </c>
      <c r="H583" t="s">
        <v>42</v>
      </c>
      <c r="I583"/>
      <c r="J583"/>
      <c r="K583" t="s">
        <v>3854</v>
      </c>
      <c r="L583">
        <v>439503</v>
      </c>
      <c r="M583" t="s">
        <v>2746</v>
      </c>
    </row>
    <row r="584" spans="1:13" ht="15" x14ac:dyDescent="0.25">
      <c r="A584" t="s">
        <v>1486</v>
      </c>
      <c r="B584" t="s">
        <v>11</v>
      </c>
      <c r="C584" t="s">
        <v>12</v>
      </c>
      <c r="D584" t="s">
        <v>36</v>
      </c>
      <c r="E584" t="s">
        <v>44</v>
      </c>
      <c r="F584" t="s">
        <v>370</v>
      </c>
      <c r="G584" t="s">
        <v>391</v>
      </c>
      <c r="H584"/>
      <c r="I584"/>
      <c r="J584"/>
      <c r="K584" t="s">
        <v>3855</v>
      </c>
      <c r="L584">
        <v>6441293</v>
      </c>
      <c r="M584" t="s">
        <v>1570</v>
      </c>
    </row>
    <row r="585" spans="1:13" ht="15" x14ac:dyDescent="0.25">
      <c r="A585" t="s">
        <v>360</v>
      </c>
      <c r="B585" t="s">
        <v>11</v>
      </c>
      <c r="C585" t="s">
        <v>12</v>
      </c>
      <c r="D585" t="s">
        <v>29</v>
      </c>
      <c r="E585" t="s">
        <v>30</v>
      </c>
      <c r="F585" t="s">
        <v>40</v>
      </c>
      <c r="G585" t="s">
        <v>47</v>
      </c>
      <c r="H585" t="s">
        <v>331</v>
      </c>
      <c r="I585"/>
      <c r="J585"/>
      <c r="K585" t="s">
        <v>3856</v>
      </c>
      <c r="L585">
        <v>64689</v>
      </c>
      <c r="M585" t="s">
        <v>2747</v>
      </c>
    </row>
    <row r="586" spans="1:13" ht="15" x14ac:dyDescent="0.25">
      <c r="A586" t="s">
        <v>1848</v>
      </c>
      <c r="B586" t="s">
        <v>11</v>
      </c>
      <c r="C586" t="s">
        <v>12</v>
      </c>
      <c r="D586" t="s">
        <v>111</v>
      </c>
      <c r="E586" t="s">
        <v>1024</v>
      </c>
      <c r="F586" t="s">
        <v>1025</v>
      </c>
      <c r="G586" t="s">
        <v>1026</v>
      </c>
      <c r="H586"/>
      <c r="I586"/>
      <c r="J586"/>
      <c r="K586" t="s">
        <v>3857</v>
      </c>
      <c r="L586">
        <v>53951317</v>
      </c>
      <c r="M586" t="s">
        <v>2093</v>
      </c>
    </row>
    <row r="587" spans="1:13" ht="15" x14ac:dyDescent="0.25">
      <c r="A587" t="s">
        <v>1065</v>
      </c>
      <c r="B587" t="s">
        <v>11</v>
      </c>
      <c r="C587" t="s">
        <v>12</v>
      </c>
      <c r="D587" t="s">
        <v>24</v>
      </c>
      <c r="E587" t="s">
        <v>476</v>
      </c>
      <c r="F587" t="s">
        <v>477</v>
      </c>
      <c r="G587" t="s">
        <v>1066</v>
      </c>
      <c r="H587" t="s">
        <v>1067</v>
      </c>
      <c r="I587"/>
      <c r="J587"/>
      <c r="K587" t="s">
        <v>3858</v>
      </c>
      <c r="L587">
        <v>33510</v>
      </c>
      <c r="M587" t="s">
        <v>2748</v>
      </c>
    </row>
    <row r="588" spans="1:13" ht="15" x14ac:dyDescent="0.25">
      <c r="A588" t="s">
        <v>1690</v>
      </c>
      <c r="B588" t="s">
        <v>11</v>
      </c>
      <c r="C588" t="s">
        <v>12</v>
      </c>
      <c r="D588" t="s">
        <v>36</v>
      </c>
      <c r="E588" t="s">
        <v>44</v>
      </c>
      <c r="F588" t="s">
        <v>370</v>
      </c>
      <c r="G588" t="s">
        <v>1171</v>
      </c>
      <c r="H588" t="s">
        <v>1585</v>
      </c>
      <c r="I588"/>
      <c r="J588"/>
      <c r="K588" t="s">
        <v>3859</v>
      </c>
      <c r="L588">
        <v>12575</v>
      </c>
      <c r="M588" t="s">
        <v>2749</v>
      </c>
    </row>
    <row r="589" spans="1:13" ht="15" x14ac:dyDescent="0.25">
      <c r="A589" t="s">
        <v>562</v>
      </c>
      <c r="B589" t="s">
        <v>11</v>
      </c>
      <c r="C589" t="s">
        <v>12</v>
      </c>
      <c r="D589" t="s">
        <v>24</v>
      </c>
      <c r="E589" t="s">
        <v>25</v>
      </c>
      <c r="F589" t="s">
        <v>388</v>
      </c>
      <c r="G589" t="s">
        <v>389</v>
      </c>
      <c r="H589"/>
      <c r="I589"/>
      <c r="J589"/>
      <c r="K589" t="s">
        <v>3860</v>
      </c>
      <c r="L589">
        <v>5282758</v>
      </c>
      <c r="M589" t="s">
        <v>821</v>
      </c>
    </row>
    <row r="590" spans="1:13" ht="15" x14ac:dyDescent="0.25">
      <c r="A590" t="s">
        <v>1491</v>
      </c>
      <c r="B590" t="s">
        <v>11</v>
      </c>
      <c r="C590" t="s">
        <v>12</v>
      </c>
      <c r="D590" t="s">
        <v>111</v>
      </c>
      <c r="E590" t="s">
        <v>1024</v>
      </c>
      <c r="F590" t="s">
        <v>1025</v>
      </c>
      <c r="G590" t="s">
        <v>1026</v>
      </c>
      <c r="H590"/>
      <c r="I590"/>
      <c r="J590"/>
      <c r="K590" t="s">
        <v>3861</v>
      </c>
      <c r="L590">
        <v>67218246</v>
      </c>
      <c r="M590" t="s">
        <v>1574</v>
      </c>
    </row>
    <row r="591" spans="1:13" ht="15" x14ac:dyDescent="0.25">
      <c r="A591" t="s">
        <v>638</v>
      </c>
      <c r="B591" t="s">
        <v>11</v>
      </c>
      <c r="C591" t="s">
        <v>12</v>
      </c>
      <c r="D591" t="s">
        <v>24</v>
      </c>
      <c r="E591" t="s">
        <v>25</v>
      </c>
      <c r="F591" t="s">
        <v>388</v>
      </c>
      <c r="G591" t="s">
        <v>571</v>
      </c>
      <c r="H591"/>
      <c r="I591"/>
      <c r="J591"/>
      <c r="K591" t="s">
        <v>3862</v>
      </c>
      <c r="L591">
        <v>10469</v>
      </c>
      <c r="M591" t="s">
        <v>848</v>
      </c>
    </row>
    <row r="592" spans="1:13" ht="15" x14ac:dyDescent="0.25">
      <c r="A592" t="s">
        <v>634</v>
      </c>
      <c r="B592" t="s">
        <v>11</v>
      </c>
      <c r="C592" t="s">
        <v>12</v>
      </c>
      <c r="D592" t="s">
        <v>24</v>
      </c>
      <c r="E592" t="s">
        <v>25</v>
      </c>
      <c r="F592" t="s">
        <v>388</v>
      </c>
      <c r="G592" t="s">
        <v>571</v>
      </c>
      <c r="H592"/>
      <c r="I592"/>
      <c r="J592"/>
      <c r="K592" t="s">
        <v>3863</v>
      </c>
      <c r="L592">
        <v>10470</v>
      </c>
      <c r="M592" t="s">
        <v>845</v>
      </c>
    </row>
    <row r="593" spans="1:13" ht="15" x14ac:dyDescent="0.25">
      <c r="A593" t="s">
        <v>1599</v>
      </c>
      <c r="B593" t="s">
        <v>11</v>
      </c>
      <c r="C593" t="s">
        <v>12</v>
      </c>
      <c r="D593" t="s">
        <v>111</v>
      </c>
      <c r="E593" t="s">
        <v>120</v>
      </c>
      <c r="F593" t="s">
        <v>1592</v>
      </c>
      <c r="G593" t="s">
        <v>1598</v>
      </c>
      <c r="H593"/>
      <c r="I593"/>
      <c r="J593"/>
      <c r="K593" t="s">
        <v>3864</v>
      </c>
      <c r="L593">
        <v>182239</v>
      </c>
      <c r="M593" t="s">
        <v>2750</v>
      </c>
    </row>
    <row r="594" spans="1:13" ht="15" x14ac:dyDescent="0.25">
      <c r="A594" t="s">
        <v>457</v>
      </c>
      <c r="B594" t="s">
        <v>11</v>
      </c>
      <c r="C594" t="s">
        <v>12</v>
      </c>
      <c r="D594" t="s">
        <v>111</v>
      </c>
      <c r="E594" t="s">
        <v>304</v>
      </c>
      <c r="F594" t="s">
        <v>305</v>
      </c>
      <c r="G594" t="s">
        <v>382</v>
      </c>
      <c r="H594"/>
      <c r="I594"/>
      <c r="J594"/>
      <c r="K594" t="s">
        <v>3865</v>
      </c>
      <c r="L594">
        <v>14237601</v>
      </c>
      <c r="M594" t="s">
        <v>798</v>
      </c>
    </row>
    <row r="595" spans="1:13" ht="15" x14ac:dyDescent="0.25">
      <c r="A595" t="s">
        <v>1222</v>
      </c>
      <c r="B595" t="s">
        <v>11</v>
      </c>
      <c r="C595" t="s">
        <v>12</v>
      </c>
      <c r="D595" t="s">
        <v>111</v>
      </c>
      <c r="E595" t="s">
        <v>304</v>
      </c>
      <c r="F595" t="s">
        <v>305</v>
      </c>
      <c r="G595" t="s">
        <v>382</v>
      </c>
      <c r="H595"/>
      <c r="I595"/>
      <c r="J595"/>
      <c r="K595" t="s">
        <v>3866</v>
      </c>
      <c r="L595">
        <v>11369032</v>
      </c>
      <c r="M595" t="s">
        <v>2751</v>
      </c>
    </row>
    <row r="596" spans="1:13" ht="15" x14ac:dyDescent="0.25">
      <c r="A596" t="s">
        <v>1648</v>
      </c>
      <c r="B596" t="s">
        <v>11</v>
      </c>
      <c r="C596" t="s">
        <v>12</v>
      </c>
      <c r="D596" t="s">
        <v>111</v>
      </c>
      <c r="E596" t="s">
        <v>120</v>
      </c>
      <c r="F596" t="s">
        <v>1226</v>
      </c>
      <c r="G596" t="s">
        <v>1227</v>
      </c>
      <c r="H596"/>
      <c r="I596"/>
      <c r="J596"/>
      <c r="K596" t="s">
        <v>3867</v>
      </c>
      <c r="L596">
        <v>5281698</v>
      </c>
      <c r="M596" t="s">
        <v>2752</v>
      </c>
    </row>
    <row r="597" spans="1:13" ht="15" x14ac:dyDescent="0.25">
      <c r="A597" t="s">
        <v>1639</v>
      </c>
      <c r="B597" t="s">
        <v>11</v>
      </c>
      <c r="C597" t="s">
        <v>12</v>
      </c>
      <c r="D597" t="s">
        <v>111</v>
      </c>
      <c r="E597" t="s">
        <v>120</v>
      </c>
      <c r="F597" t="s">
        <v>1592</v>
      </c>
      <c r="G597" t="s">
        <v>1638</v>
      </c>
      <c r="H597"/>
      <c r="I597"/>
      <c r="J597"/>
      <c r="K597" t="s">
        <v>3868</v>
      </c>
      <c r="L597">
        <v>5280862</v>
      </c>
      <c r="M597" t="s">
        <v>2753</v>
      </c>
    </row>
    <row r="598" spans="1:13" ht="15" x14ac:dyDescent="0.25">
      <c r="A598" t="s">
        <v>1632</v>
      </c>
      <c r="B598" t="s">
        <v>11</v>
      </c>
      <c r="C598" t="s">
        <v>12</v>
      </c>
      <c r="D598" t="s">
        <v>111</v>
      </c>
      <c r="E598" t="s">
        <v>120</v>
      </c>
      <c r="F598" t="s">
        <v>1592</v>
      </c>
      <c r="G598" t="s">
        <v>1598</v>
      </c>
      <c r="H598"/>
      <c r="I598"/>
      <c r="J598"/>
      <c r="K598" t="s">
        <v>3869</v>
      </c>
      <c r="L598">
        <v>5318214</v>
      </c>
      <c r="M598" t="s">
        <v>2754</v>
      </c>
    </row>
    <row r="599" spans="1:13" ht="15" x14ac:dyDescent="0.25">
      <c r="A599" t="s">
        <v>1634</v>
      </c>
      <c r="B599" t="s">
        <v>11</v>
      </c>
      <c r="C599" t="s">
        <v>12</v>
      </c>
      <c r="D599" t="s">
        <v>111</v>
      </c>
      <c r="E599" t="s">
        <v>120</v>
      </c>
      <c r="F599" t="s">
        <v>1592</v>
      </c>
      <c r="G599" t="s">
        <v>1598</v>
      </c>
      <c r="H599"/>
      <c r="I599"/>
      <c r="J599"/>
      <c r="K599" t="s">
        <v>3870</v>
      </c>
      <c r="L599">
        <v>5280417</v>
      </c>
      <c r="M599" t="s">
        <v>2755</v>
      </c>
    </row>
    <row r="600" spans="1:13" ht="15" x14ac:dyDescent="0.25">
      <c r="A600" t="s">
        <v>1594</v>
      </c>
      <c r="B600" t="s">
        <v>11</v>
      </c>
      <c r="C600" t="s">
        <v>12</v>
      </c>
      <c r="D600" t="s">
        <v>111</v>
      </c>
      <c r="E600" t="s">
        <v>120</v>
      </c>
      <c r="F600" t="s">
        <v>1592</v>
      </c>
      <c r="G600" t="s">
        <v>1593</v>
      </c>
      <c r="H600"/>
      <c r="I600"/>
      <c r="J600"/>
      <c r="K600" t="s">
        <v>3871</v>
      </c>
      <c r="L600">
        <v>160481</v>
      </c>
      <c r="M600" t="s">
        <v>2756</v>
      </c>
    </row>
    <row r="601" spans="1:13" ht="15" x14ac:dyDescent="0.25">
      <c r="A601" t="s">
        <v>1637</v>
      </c>
      <c r="B601" t="s">
        <v>11</v>
      </c>
      <c r="C601" t="s">
        <v>12</v>
      </c>
      <c r="D601" t="s">
        <v>111</v>
      </c>
      <c r="E601" t="s">
        <v>120</v>
      </c>
      <c r="F601" t="s">
        <v>1592</v>
      </c>
      <c r="G601" t="s">
        <v>1638</v>
      </c>
      <c r="H601"/>
      <c r="I601"/>
      <c r="J601"/>
      <c r="K601" t="s">
        <v>3872</v>
      </c>
      <c r="L601">
        <v>5281946</v>
      </c>
      <c r="M601" t="s">
        <v>2757</v>
      </c>
    </row>
    <row r="602" spans="1:13" ht="15" x14ac:dyDescent="0.25">
      <c r="A602" t="s">
        <v>376</v>
      </c>
      <c r="B602" t="s">
        <v>11</v>
      </c>
      <c r="C602" t="s">
        <v>12</v>
      </c>
      <c r="D602" t="s">
        <v>36</v>
      </c>
      <c r="E602" t="s">
        <v>44</v>
      </c>
      <c r="F602" t="s">
        <v>377</v>
      </c>
      <c r="G602" t="s">
        <v>378</v>
      </c>
      <c r="H602"/>
      <c r="I602"/>
      <c r="J602"/>
      <c r="K602" t="s">
        <v>3873</v>
      </c>
      <c r="L602">
        <v>780</v>
      </c>
      <c r="M602" t="s">
        <v>773</v>
      </c>
    </row>
    <row r="603" spans="1:13" ht="15" x14ac:dyDescent="0.25">
      <c r="A603" t="s">
        <v>1579</v>
      </c>
      <c r="B603" t="s">
        <v>11</v>
      </c>
      <c r="C603" t="s">
        <v>12</v>
      </c>
      <c r="D603" t="s">
        <v>29</v>
      </c>
      <c r="E603" t="s">
        <v>30</v>
      </c>
      <c r="F603" t="s">
        <v>105</v>
      </c>
      <c r="G603" t="s">
        <v>114</v>
      </c>
      <c r="H603" t="s">
        <v>115</v>
      </c>
      <c r="I603" t="s">
        <v>1340</v>
      </c>
      <c r="J603" t="s">
        <v>1341</v>
      </c>
      <c r="K603" t="s">
        <v>3874</v>
      </c>
      <c r="L603">
        <v>8768</v>
      </c>
      <c r="M603" t="s">
        <v>2758</v>
      </c>
    </row>
    <row r="604" spans="1:13" ht="15" x14ac:dyDescent="0.25">
      <c r="A604" t="s">
        <v>67</v>
      </c>
      <c r="B604" t="s">
        <v>11</v>
      </c>
      <c r="C604" t="s">
        <v>12</v>
      </c>
      <c r="D604" t="s">
        <v>24</v>
      </c>
      <c r="E604" t="s">
        <v>54</v>
      </c>
      <c r="F604" t="s">
        <v>60</v>
      </c>
      <c r="G604" t="s">
        <v>66</v>
      </c>
      <c r="H604"/>
      <c r="I604"/>
      <c r="J604"/>
      <c r="K604" t="s">
        <v>3875</v>
      </c>
      <c r="L604">
        <v>5375199</v>
      </c>
      <c r="M604" t="s">
        <v>728</v>
      </c>
    </row>
    <row r="605" spans="1:13" ht="15" x14ac:dyDescent="0.25">
      <c r="A605" t="s">
        <v>71</v>
      </c>
      <c r="B605" t="s">
        <v>11</v>
      </c>
      <c r="C605" t="s">
        <v>12</v>
      </c>
      <c r="D605" t="s">
        <v>24</v>
      </c>
      <c r="E605" t="s">
        <v>54</v>
      </c>
      <c r="F605" t="s">
        <v>60</v>
      </c>
      <c r="G605" t="s">
        <v>66</v>
      </c>
      <c r="H605"/>
      <c r="I605"/>
      <c r="J605"/>
      <c r="K605" t="s">
        <v>3876</v>
      </c>
      <c r="L605">
        <v>5280896</v>
      </c>
      <c r="M605" t="s">
        <v>728</v>
      </c>
    </row>
    <row r="606" spans="1:13" ht="15" x14ac:dyDescent="0.25">
      <c r="A606" t="s">
        <v>68</v>
      </c>
      <c r="B606" t="s">
        <v>11</v>
      </c>
      <c r="C606" t="s">
        <v>12</v>
      </c>
      <c r="D606" t="s">
        <v>24</v>
      </c>
      <c r="E606" t="s">
        <v>54</v>
      </c>
      <c r="F606" t="s">
        <v>60</v>
      </c>
      <c r="G606" t="s">
        <v>66</v>
      </c>
      <c r="H606"/>
      <c r="I606"/>
      <c r="J606"/>
      <c r="K606" t="s">
        <v>3877</v>
      </c>
      <c r="L606">
        <v>5375200</v>
      </c>
      <c r="M606" t="s">
        <v>728</v>
      </c>
    </row>
    <row r="607" spans="1:13" ht="15" x14ac:dyDescent="0.25">
      <c r="A607" t="s">
        <v>65</v>
      </c>
      <c r="B607" t="s">
        <v>11</v>
      </c>
      <c r="C607" t="s">
        <v>12</v>
      </c>
      <c r="D607" t="s">
        <v>24</v>
      </c>
      <c r="E607" t="s">
        <v>54</v>
      </c>
      <c r="F607" t="s">
        <v>60</v>
      </c>
      <c r="G607" t="s">
        <v>66</v>
      </c>
      <c r="H607"/>
      <c r="I607"/>
      <c r="J607"/>
      <c r="K607" t="s">
        <v>3878</v>
      </c>
      <c r="L607">
        <v>287291</v>
      </c>
      <c r="M607" t="s">
        <v>728</v>
      </c>
    </row>
    <row r="608" spans="1:13" ht="15" x14ac:dyDescent="0.25">
      <c r="A608" t="s">
        <v>69</v>
      </c>
      <c r="B608" t="s">
        <v>11</v>
      </c>
      <c r="C608" t="s">
        <v>12</v>
      </c>
      <c r="D608" t="s">
        <v>24</v>
      </c>
      <c r="E608" t="s">
        <v>54</v>
      </c>
      <c r="F608" t="s">
        <v>60</v>
      </c>
      <c r="G608" t="s">
        <v>66</v>
      </c>
      <c r="H608"/>
      <c r="I608"/>
      <c r="J608"/>
      <c r="K608" t="s">
        <v>3879</v>
      </c>
      <c r="L608">
        <v>643732</v>
      </c>
      <c r="M608" t="s">
        <v>728</v>
      </c>
    </row>
    <row r="609" spans="1:13" ht="15" x14ac:dyDescent="0.25">
      <c r="A609" t="s">
        <v>72</v>
      </c>
      <c r="B609" t="s">
        <v>11</v>
      </c>
      <c r="C609" t="s">
        <v>12</v>
      </c>
      <c r="D609" t="s">
        <v>24</v>
      </c>
      <c r="E609" t="s">
        <v>54</v>
      </c>
      <c r="F609" t="s">
        <v>60</v>
      </c>
      <c r="G609" t="s">
        <v>66</v>
      </c>
      <c r="H609"/>
      <c r="I609"/>
      <c r="J609"/>
      <c r="K609" t="s">
        <v>3880</v>
      </c>
      <c r="L609">
        <v>5702609</v>
      </c>
      <c r="M609" t="s">
        <v>728</v>
      </c>
    </row>
    <row r="610" spans="1:13" ht="15" x14ac:dyDescent="0.25">
      <c r="A610" t="s">
        <v>70</v>
      </c>
      <c r="B610" t="s">
        <v>11</v>
      </c>
      <c r="C610" t="s">
        <v>12</v>
      </c>
      <c r="D610" t="s">
        <v>24</v>
      </c>
      <c r="E610" t="s">
        <v>54</v>
      </c>
      <c r="F610" t="s">
        <v>60</v>
      </c>
      <c r="G610" t="s">
        <v>66</v>
      </c>
      <c r="H610"/>
      <c r="I610"/>
      <c r="J610"/>
      <c r="K610" t="s">
        <v>3881</v>
      </c>
      <c r="L610">
        <v>131954763</v>
      </c>
      <c r="M610" t="s">
        <v>728</v>
      </c>
    </row>
    <row r="611" spans="1:13" ht="15" x14ac:dyDescent="0.25">
      <c r="A611" t="s">
        <v>889</v>
      </c>
      <c r="B611" t="s">
        <v>11</v>
      </c>
      <c r="C611" t="s">
        <v>12</v>
      </c>
      <c r="D611" t="s">
        <v>24</v>
      </c>
      <c r="E611" t="s">
        <v>54</v>
      </c>
      <c r="F611" t="s">
        <v>55</v>
      </c>
      <c r="G611" t="s">
        <v>56</v>
      </c>
      <c r="H611"/>
      <c r="I611"/>
      <c r="J611"/>
      <c r="K611" t="s">
        <v>3882</v>
      </c>
      <c r="L611">
        <v>26049</v>
      </c>
      <c r="M611" t="s">
        <v>2759</v>
      </c>
    </row>
    <row r="612" spans="1:13" ht="15" x14ac:dyDescent="0.25">
      <c r="A612" t="s">
        <v>711</v>
      </c>
      <c r="B612" t="s">
        <v>11</v>
      </c>
      <c r="C612" t="s">
        <v>12</v>
      </c>
      <c r="D612" t="s">
        <v>24</v>
      </c>
      <c r="E612" t="s">
        <v>54</v>
      </c>
      <c r="F612" t="s">
        <v>55</v>
      </c>
      <c r="G612" t="s">
        <v>97</v>
      </c>
      <c r="H612"/>
      <c r="I612"/>
      <c r="J612"/>
      <c r="K612" t="s">
        <v>3883</v>
      </c>
      <c r="L612">
        <v>439250</v>
      </c>
      <c r="M612" t="s">
        <v>2760</v>
      </c>
    </row>
    <row r="613" spans="1:13" ht="15" x14ac:dyDescent="0.25">
      <c r="A613" t="s">
        <v>895</v>
      </c>
      <c r="B613" t="s">
        <v>11</v>
      </c>
      <c r="C613" t="s">
        <v>12</v>
      </c>
      <c r="D613" t="s">
        <v>24</v>
      </c>
      <c r="E613" t="s">
        <v>54</v>
      </c>
      <c r="F613" t="s">
        <v>55</v>
      </c>
      <c r="G613" t="s">
        <v>56</v>
      </c>
      <c r="H613"/>
      <c r="I613"/>
      <c r="J613"/>
      <c r="K613" t="s">
        <v>3884</v>
      </c>
      <c r="L613">
        <v>79035</v>
      </c>
      <c r="M613" t="s">
        <v>1101</v>
      </c>
    </row>
    <row r="614" spans="1:13" ht="15" x14ac:dyDescent="0.25">
      <c r="A614" t="s">
        <v>1318</v>
      </c>
      <c r="B614" t="s">
        <v>11</v>
      </c>
      <c r="C614" t="s">
        <v>12</v>
      </c>
      <c r="D614" t="s">
        <v>24</v>
      </c>
      <c r="E614" t="s">
        <v>54</v>
      </c>
      <c r="F614" t="s">
        <v>60</v>
      </c>
      <c r="G614" t="s">
        <v>933</v>
      </c>
      <c r="H614" t="s">
        <v>934</v>
      </c>
      <c r="I614"/>
      <c r="J614"/>
      <c r="K614" t="s">
        <v>3885</v>
      </c>
      <c r="L614">
        <v>528759</v>
      </c>
      <c r="M614" t="s">
        <v>2761</v>
      </c>
    </row>
    <row r="615" spans="1:13" ht="15" x14ac:dyDescent="0.25">
      <c r="A615" t="s">
        <v>947</v>
      </c>
      <c r="B615" t="s">
        <v>11</v>
      </c>
      <c r="C615" t="s">
        <v>12</v>
      </c>
      <c r="D615" t="s">
        <v>24</v>
      </c>
      <c r="E615" t="s">
        <v>54</v>
      </c>
      <c r="F615" t="s">
        <v>60</v>
      </c>
      <c r="G615" t="s">
        <v>60</v>
      </c>
      <c r="H615"/>
      <c r="I615"/>
      <c r="J615"/>
      <c r="K615" t="s">
        <v>3886</v>
      </c>
      <c r="L615">
        <v>5281515</v>
      </c>
      <c r="M615" t="s">
        <v>1111</v>
      </c>
    </row>
    <row r="616" spans="1:13" ht="15" x14ac:dyDescent="0.25">
      <c r="A616" t="s">
        <v>99</v>
      </c>
      <c r="B616" t="s">
        <v>11</v>
      </c>
      <c r="C616" t="s">
        <v>12</v>
      </c>
      <c r="D616" t="s">
        <v>24</v>
      </c>
      <c r="E616" t="s">
        <v>25</v>
      </c>
      <c r="F616" t="s">
        <v>26</v>
      </c>
      <c r="G616" t="s">
        <v>26</v>
      </c>
      <c r="H616"/>
      <c r="I616"/>
      <c r="J616"/>
      <c r="K616" t="s">
        <v>3887</v>
      </c>
      <c r="L616">
        <v>8103</v>
      </c>
      <c r="M616" t="s">
        <v>2762</v>
      </c>
    </row>
    <row r="617" spans="1:13" ht="15" x14ac:dyDescent="0.25">
      <c r="A617" t="s">
        <v>588</v>
      </c>
      <c r="B617" t="s">
        <v>11</v>
      </c>
      <c r="C617" t="s">
        <v>12</v>
      </c>
      <c r="D617" t="s">
        <v>24</v>
      </c>
      <c r="E617" t="s">
        <v>25</v>
      </c>
      <c r="F617" t="s">
        <v>388</v>
      </c>
      <c r="G617" t="s">
        <v>491</v>
      </c>
      <c r="H617" t="s">
        <v>492</v>
      </c>
      <c r="I617"/>
      <c r="J617"/>
      <c r="K617" t="s">
        <v>3888</v>
      </c>
      <c r="L617">
        <v>125468</v>
      </c>
      <c r="M617" t="s">
        <v>2763</v>
      </c>
    </row>
    <row r="618" spans="1:13" ht="15" x14ac:dyDescent="0.25">
      <c r="A618" t="s">
        <v>1803</v>
      </c>
      <c r="B618" t="s">
        <v>11</v>
      </c>
      <c r="C618" t="s">
        <v>12</v>
      </c>
      <c r="D618" t="s">
        <v>111</v>
      </c>
      <c r="E618" t="s">
        <v>120</v>
      </c>
      <c r="F618" t="s">
        <v>308</v>
      </c>
      <c r="G618" t="s">
        <v>309</v>
      </c>
      <c r="H618" t="s">
        <v>1614</v>
      </c>
      <c r="I618"/>
      <c r="J618"/>
      <c r="K618" t="s">
        <v>3889</v>
      </c>
      <c r="L618">
        <v>5280704</v>
      </c>
      <c r="M618" t="s">
        <v>2764</v>
      </c>
    </row>
    <row r="619" spans="1:13" ht="15" x14ac:dyDescent="0.25">
      <c r="A619" t="s">
        <v>1677</v>
      </c>
      <c r="B619" t="s">
        <v>11</v>
      </c>
      <c r="C619" t="s">
        <v>12</v>
      </c>
      <c r="D619" t="s">
        <v>111</v>
      </c>
      <c r="E619" t="s">
        <v>120</v>
      </c>
      <c r="F619" t="s">
        <v>308</v>
      </c>
      <c r="G619" t="s">
        <v>309</v>
      </c>
      <c r="H619" t="s">
        <v>310</v>
      </c>
      <c r="I619"/>
      <c r="J619"/>
      <c r="K619" t="s">
        <v>3890</v>
      </c>
      <c r="L619">
        <v>5281643</v>
      </c>
      <c r="M619" t="s">
        <v>2765</v>
      </c>
    </row>
    <row r="620" spans="1:13" ht="15" x14ac:dyDescent="0.25">
      <c r="A620" t="s">
        <v>1363</v>
      </c>
      <c r="B620" t="s">
        <v>11</v>
      </c>
      <c r="C620" t="s">
        <v>12</v>
      </c>
      <c r="D620" t="s">
        <v>111</v>
      </c>
      <c r="E620" t="s">
        <v>1364</v>
      </c>
      <c r="F620" t="s">
        <v>1365</v>
      </c>
      <c r="G620" t="s">
        <v>1366</v>
      </c>
      <c r="H620"/>
      <c r="I620"/>
      <c r="J620"/>
      <c r="K620" t="s">
        <v>3891</v>
      </c>
      <c r="L620">
        <v>146015185</v>
      </c>
      <c r="M620" t="s">
        <v>1534</v>
      </c>
    </row>
    <row r="621" spans="1:13" ht="15" x14ac:dyDescent="0.25">
      <c r="A621" t="s">
        <v>1607</v>
      </c>
      <c r="B621" t="s">
        <v>11</v>
      </c>
      <c r="C621" t="s">
        <v>12</v>
      </c>
      <c r="D621" t="s">
        <v>111</v>
      </c>
      <c r="E621" t="s">
        <v>120</v>
      </c>
      <c r="F621" t="s">
        <v>1592</v>
      </c>
      <c r="G621" t="s">
        <v>1608</v>
      </c>
      <c r="H621"/>
      <c r="I621"/>
      <c r="J621"/>
      <c r="K621" t="s">
        <v>3892</v>
      </c>
      <c r="L621">
        <v>73635</v>
      </c>
      <c r="M621" t="s">
        <v>2766</v>
      </c>
    </row>
    <row r="622" spans="1:13" ht="15" x14ac:dyDescent="0.25">
      <c r="A622" t="s">
        <v>2252</v>
      </c>
      <c r="B622" t="s">
        <v>11</v>
      </c>
      <c r="C622" t="s">
        <v>12</v>
      </c>
      <c r="D622" t="s">
        <v>29</v>
      </c>
      <c r="E622" t="s">
        <v>2253</v>
      </c>
      <c r="F622"/>
      <c r="G622" t="s">
        <v>2253</v>
      </c>
      <c r="H622"/>
      <c r="I622"/>
      <c r="J622"/>
      <c r="K622" t="s">
        <v>3893</v>
      </c>
      <c r="L622">
        <v>11171774</v>
      </c>
      <c r="M622" t="s">
        <v>2767</v>
      </c>
    </row>
    <row r="623" spans="1:13" ht="15" x14ac:dyDescent="0.25">
      <c r="A623" t="s">
        <v>2297</v>
      </c>
      <c r="B623" t="s">
        <v>11</v>
      </c>
      <c r="C623" t="s">
        <v>12</v>
      </c>
      <c r="D623" t="s">
        <v>111</v>
      </c>
      <c r="E623" t="s">
        <v>304</v>
      </c>
      <c r="F623" t="s">
        <v>305</v>
      </c>
      <c r="G623" t="s">
        <v>382</v>
      </c>
      <c r="H623"/>
      <c r="I623"/>
      <c r="J623"/>
      <c r="K623" t="s">
        <v>3894</v>
      </c>
      <c r="L623">
        <v>5910817</v>
      </c>
      <c r="M623" t="s">
        <v>2768</v>
      </c>
    </row>
    <row r="624" spans="1:13" ht="15" x14ac:dyDescent="0.25">
      <c r="A624" t="s">
        <v>454</v>
      </c>
      <c r="B624" t="s">
        <v>11</v>
      </c>
      <c r="C624" t="s">
        <v>12</v>
      </c>
      <c r="D624" t="s">
        <v>111</v>
      </c>
      <c r="E624" t="s">
        <v>304</v>
      </c>
      <c r="F624" t="s">
        <v>447</v>
      </c>
      <c r="G624" t="s">
        <v>447</v>
      </c>
      <c r="H624"/>
      <c r="I624"/>
      <c r="J624"/>
      <c r="K624" t="s">
        <v>3895</v>
      </c>
      <c r="L624">
        <v>5273469</v>
      </c>
      <c r="M624" t="s">
        <v>2769</v>
      </c>
    </row>
    <row r="625" spans="1:13" ht="15" x14ac:dyDescent="0.25">
      <c r="A625" t="s">
        <v>1462</v>
      </c>
      <c r="B625" t="s">
        <v>11</v>
      </c>
      <c r="C625" t="s">
        <v>12</v>
      </c>
      <c r="D625" t="s">
        <v>13</v>
      </c>
      <c r="E625" t="s">
        <v>14</v>
      </c>
      <c r="F625" t="s">
        <v>1463</v>
      </c>
      <c r="G625" t="s">
        <v>1463</v>
      </c>
      <c r="H625"/>
      <c r="I625"/>
      <c r="J625"/>
      <c r="K625" t="s">
        <v>3896</v>
      </c>
      <c r="L625">
        <v>5281764</v>
      </c>
      <c r="M625" t="s">
        <v>2770</v>
      </c>
    </row>
    <row r="626" spans="1:13" ht="15" x14ac:dyDescent="0.25">
      <c r="A626" t="s">
        <v>1662</v>
      </c>
      <c r="B626" t="s">
        <v>11</v>
      </c>
      <c r="C626" t="s">
        <v>12</v>
      </c>
      <c r="D626" t="s">
        <v>111</v>
      </c>
      <c r="E626" t="s">
        <v>120</v>
      </c>
      <c r="F626" t="s">
        <v>308</v>
      </c>
      <c r="G626" t="s">
        <v>309</v>
      </c>
      <c r="H626" t="s">
        <v>1614</v>
      </c>
      <c r="I626"/>
      <c r="J626"/>
      <c r="K626" t="s">
        <v>3897</v>
      </c>
      <c r="L626">
        <v>5280746</v>
      </c>
      <c r="M626" t="s">
        <v>2024</v>
      </c>
    </row>
    <row r="627" spans="1:13" ht="15" x14ac:dyDescent="0.25">
      <c r="A627" t="s">
        <v>1641</v>
      </c>
      <c r="B627" t="s">
        <v>11</v>
      </c>
      <c r="C627" t="s">
        <v>12</v>
      </c>
      <c r="D627" t="s">
        <v>111</v>
      </c>
      <c r="E627" t="s">
        <v>120</v>
      </c>
      <c r="F627" t="s">
        <v>1592</v>
      </c>
      <c r="G627" t="s">
        <v>1620</v>
      </c>
      <c r="H627"/>
      <c r="I627"/>
      <c r="J627"/>
      <c r="K627" t="s">
        <v>3898</v>
      </c>
      <c r="L627">
        <v>5320315</v>
      </c>
      <c r="M627" t="s">
        <v>2020</v>
      </c>
    </row>
    <row r="628" spans="1:13" ht="15" x14ac:dyDescent="0.25">
      <c r="A628" t="s">
        <v>1397</v>
      </c>
      <c r="B628" t="s">
        <v>11</v>
      </c>
      <c r="C628" t="s">
        <v>12</v>
      </c>
      <c r="D628" t="s">
        <v>111</v>
      </c>
      <c r="E628" t="s">
        <v>146</v>
      </c>
      <c r="F628" t="s">
        <v>147</v>
      </c>
      <c r="G628" t="s">
        <v>147</v>
      </c>
      <c r="H628"/>
      <c r="I628"/>
      <c r="J628"/>
      <c r="K628" t="s">
        <v>3899</v>
      </c>
      <c r="L628">
        <v>16760409</v>
      </c>
      <c r="M628" t="s">
        <v>2771</v>
      </c>
    </row>
    <row r="629" spans="1:13" ht="15" x14ac:dyDescent="0.25">
      <c r="A629" t="s">
        <v>1921</v>
      </c>
      <c r="B629" t="s">
        <v>11</v>
      </c>
      <c r="C629" t="s">
        <v>12</v>
      </c>
      <c r="D629" t="s">
        <v>24</v>
      </c>
      <c r="E629" t="s">
        <v>94</v>
      </c>
      <c r="F629" t="s">
        <v>1922</v>
      </c>
      <c r="G629" t="s">
        <v>1923</v>
      </c>
      <c r="H629"/>
      <c r="I629"/>
      <c r="J629"/>
      <c r="K629" t="s">
        <v>3900</v>
      </c>
      <c r="L629">
        <v>104845</v>
      </c>
      <c r="M629" t="s">
        <v>2116</v>
      </c>
    </row>
    <row r="630" spans="1:13" ht="15" x14ac:dyDescent="0.25">
      <c r="A630" t="s">
        <v>91</v>
      </c>
      <c r="B630" t="s">
        <v>11</v>
      </c>
      <c r="C630" t="s">
        <v>12</v>
      </c>
      <c r="D630" t="s">
        <v>24</v>
      </c>
      <c r="E630" t="s">
        <v>25</v>
      </c>
      <c r="F630" t="s">
        <v>26</v>
      </c>
      <c r="G630" t="s">
        <v>26</v>
      </c>
      <c r="H630"/>
      <c r="I630"/>
      <c r="J630"/>
      <c r="K630" t="s">
        <v>3901</v>
      </c>
      <c r="L630">
        <v>537071</v>
      </c>
      <c r="M630" t="s">
        <v>2772</v>
      </c>
    </row>
    <row r="631" spans="1:13" ht="15" x14ac:dyDescent="0.25">
      <c r="A631" t="s">
        <v>374</v>
      </c>
      <c r="B631" t="s">
        <v>11</v>
      </c>
      <c r="C631" t="s">
        <v>12</v>
      </c>
      <c r="D631" t="s">
        <v>36</v>
      </c>
      <c r="E631" t="s">
        <v>37</v>
      </c>
      <c r="F631" t="s">
        <v>77</v>
      </c>
      <c r="G631" t="s">
        <v>375</v>
      </c>
      <c r="H631"/>
      <c r="I631"/>
      <c r="J631"/>
      <c r="K631" t="s">
        <v>3902</v>
      </c>
      <c r="L631">
        <v>547</v>
      </c>
      <c r="M631" t="s">
        <v>772</v>
      </c>
    </row>
    <row r="632" spans="1:13" ht="15" x14ac:dyDescent="0.25">
      <c r="A632" t="s">
        <v>435</v>
      </c>
      <c r="B632" t="s">
        <v>11</v>
      </c>
      <c r="C632" t="s">
        <v>12</v>
      </c>
      <c r="D632" t="s">
        <v>36</v>
      </c>
      <c r="E632" t="s">
        <v>44</v>
      </c>
      <c r="F632"/>
      <c r="G632" t="s">
        <v>44</v>
      </c>
      <c r="H632"/>
      <c r="I632"/>
      <c r="J632"/>
      <c r="K632" t="s">
        <v>3903</v>
      </c>
      <c r="L632">
        <v>999</v>
      </c>
      <c r="M632" t="s">
        <v>2773</v>
      </c>
    </row>
    <row r="633" spans="1:13" ht="15" x14ac:dyDescent="0.25">
      <c r="A633" t="s">
        <v>1170</v>
      </c>
      <c r="B633" t="s">
        <v>11</v>
      </c>
      <c r="C633" t="s">
        <v>12</v>
      </c>
      <c r="D633" t="s">
        <v>36</v>
      </c>
      <c r="E633" t="s">
        <v>44</v>
      </c>
      <c r="F633" t="s">
        <v>370</v>
      </c>
      <c r="G633" t="s">
        <v>1171</v>
      </c>
      <c r="H633" t="s">
        <v>1172</v>
      </c>
      <c r="I633"/>
      <c r="J633"/>
      <c r="K633" t="s">
        <v>3904</v>
      </c>
      <c r="L633">
        <v>1579630</v>
      </c>
      <c r="M633" t="s">
        <v>2774</v>
      </c>
    </row>
    <row r="634" spans="1:13" ht="15" x14ac:dyDescent="0.25">
      <c r="A634" t="s">
        <v>2386</v>
      </c>
      <c r="B634" t="s">
        <v>11</v>
      </c>
      <c r="C634" t="s">
        <v>12</v>
      </c>
      <c r="D634" t="s">
        <v>29</v>
      </c>
      <c r="E634" t="s">
        <v>30</v>
      </c>
      <c r="F634" t="s">
        <v>40</v>
      </c>
      <c r="G634" t="s">
        <v>408</v>
      </c>
      <c r="H634" t="s">
        <v>2478</v>
      </c>
      <c r="I634"/>
      <c r="J634"/>
      <c r="K634" t="s">
        <v>3905</v>
      </c>
      <c r="L634">
        <v>94715</v>
      </c>
      <c r="M634" t="s">
        <v>2775</v>
      </c>
    </row>
    <row r="635" spans="1:13" ht="15" x14ac:dyDescent="0.25">
      <c r="A635" t="s">
        <v>202</v>
      </c>
      <c r="B635" t="s">
        <v>11</v>
      </c>
      <c r="C635" t="s">
        <v>12</v>
      </c>
      <c r="D635" t="s">
        <v>101</v>
      </c>
      <c r="E635" t="s">
        <v>102</v>
      </c>
      <c r="F635"/>
      <c r="G635" t="s">
        <v>102</v>
      </c>
      <c r="H635"/>
      <c r="I635"/>
      <c r="J635"/>
      <c r="K635" t="s">
        <v>3906</v>
      </c>
      <c r="L635">
        <v>10953450</v>
      </c>
      <c r="M635" t="s">
        <v>737</v>
      </c>
    </row>
    <row r="636" spans="1:13" ht="15" x14ac:dyDescent="0.25">
      <c r="A636" t="s">
        <v>356</v>
      </c>
      <c r="B636" t="s">
        <v>11</v>
      </c>
      <c r="C636" t="s">
        <v>12</v>
      </c>
      <c r="D636" t="s">
        <v>29</v>
      </c>
      <c r="E636" t="s">
        <v>30</v>
      </c>
      <c r="F636" t="s">
        <v>40</v>
      </c>
      <c r="G636" t="s">
        <v>41</v>
      </c>
      <c r="H636" t="s">
        <v>346</v>
      </c>
      <c r="I636"/>
      <c r="J636"/>
      <c r="K636" t="s">
        <v>3907</v>
      </c>
      <c r="L636">
        <v>6255</v>
      </c>
      <c r="M636" t="s">
        <v>765</v>
      </c>
    </row>
    <row r="637" spans="1:13" ht="15" x14ac:dyDescent="0.25">
      <c r="A637" t="s">
        <v>355</v>
      </c>
      <c r="B637" t="s">
        <v>11</v>
      </c>
      <c r="C637" t="s">
        <v>12</v>
      </c>
      <c r="D637" t="s">
        <v>29</v>
      </c>
      <c r="E637" t="s">
        <v>30</v>
      </c>
      <c r="F637" t="s">
        <v>40</v>
      </c>
      <c r="G637" t="s">
        <v>41</v>
      </c>
      <c r="H637" t="s">
        <v>346</v>
      </c>
      <c r="I637"/>
      <c r="J637"/>
      <c r="K637" t="s">
        <v>3908</v>
      </c>
      <c r="L637">
        <v>439186</v>
      </c>
      <c r="M637" t="s">
        <v>765</v>
      </c>
    </row>
    <row r="638" spans="1:13" ht="15" x14ac:dyDescent="0.25">
      <c r="A638" t="s">
        <v>358</v>
      </c>
      <c r="B638" t="s">
        <v>11</v>
      </c>
      <c r="C638" t="s">
        <v>12</v>
      </c>
      <c r="D638" t="s">
        <v>29</v>
      </c>
      <c r="E638" t="s">
        <v>30</v>
      </c>
      <c r="F638" t="s">
        <v>40</v>
      </c>
      <c r="G638" t="s">
        <v>41</v>
      </c>
      <c r="H638" t="s">
        <v>346</v>
      </c>
      <c r="I638"/>
      <c r="J638"/>
      <c r="K638" t="s">
        <v>3909</v>
      </c>
      <c r="L638">
        <v>439341</v>
      </c>
      <c r="M638" t="s">
        <v>765</v>
      </c>
    </row>
    <row r="639" spans="1:13" ht="15" x14ac:dyDescent="0.25">
      <c r="A639" t="s">
        <v>347</v>
      </c>
      <c r="B639" t="s">
        <v>11</v>
      </c>
      <c r="C639" t="s">
        <v>12</v>
      </c>
      <c r="D639" t="s">
        <v>29</v>
      </c>
      <c r="E639" t="s">
        <v>30</v>
      </c>
      <c r="F639" t="s">
        <v>40</v>
      </c>
      <c r="G639" t="s">
        <v>41</v>
      </c>
      <c r="H639" t="s">
        <v>346</v>
      </c>
      <c r="I639"/>
      <c r="J639"/>
      <c r="K639" t="s">
        <v>3910</v>
      </c>
      <c r="L639">
        <v>294</v>
      </c>
      <c r="M639" t="s">
        <v>765</v>
      </c>
    </row>
    <row r="640" spans="1:13" ht="15" x14ac:dyDescent="0.25">
      <c r="A640" t="s">
        <v>357</v>
      </c>
      <c r="B640" t="s">
        <v>11</v>
      </c>
      <c r="C640" t="s">
        <v>12</v>
      </c>
      <c r="D640" t="s">
        <v>29</v>
      </c>
      <c r="E640" t="s">
        <v>30</v>
      </c>
      <c r="F640" t="s">
        <v>40</v>
      </c>
      <c r="G640" t="s">
        <v>41</v>
      </c>
      <c r="H640" t="s">
        <v>346</v>
      </c>
      <c r="I640"/>
      <c r="J640"/>
      <c r="K640" t="s">
        <v>3911</v>
      </c>
      <c r="L640">
        <v>10991489</v>
      </c>
      <c r="M640" t="s">
        <v>765</v>
      </c>
    </row>
    <row r="641" spans="1:13" ht="15" x14ac:dyDescent="0.25">
      <c r="A641" t="s">
        <v>345</v>
      </c>
      <c r="B641" t="s">
        <v>11</v>
      </c>
      <c r="C641" t="s">
        <v>12</v>
      </c>
      <c r="D641" t="s">
        <v>29</v>
      </c>
      <c r="E641" t="s">
        <v>30</v>
      </c>
      <c r="F641" t="s">
        <v>40</v>
      </c>
      <c r="G641" t="s">
        <v>41</v>
      </c>
      <c r="H641" t="s">
        <v>346</v>
      </c>
      <c r="I641"/>
      <c r="J641"/>
      <c r="K641" t="s">
        <v>3912</v>
      </c>
      <c r="L641">
        <v>12302673</v>
      </c>
      <c r="M641" t="s">
        <v>765</v>
      </c>
    </row>
    <row r="642" spans="1:13" ht="15" x14ac:dyDescent="0.25">
      <c r="A642" t="s">
        <v>2387</v>
      </c>
      <c r="B642" t="s">
        <v>11</v>
      </c>
      <c r="C642" t="s">
        <v>12</v>
      </c>
      <c r="D642" t="s">
        <v>29</v>
      </c>
      <c r="E642" t="s">
        <v>30</v>
      </c>
      <c r="F642" t="s">
        <v>40</v>
      </c>
      <c r="G642" t="s">
        <v>41</v>
      </c>
      <c r="H642" t="s">
        <v>346</v>
      </c>
      <c r="I642"/>
      <c r="J642"/>
      <c r="K642" t="s">
        <v>3913</v>
      </c>
      <c r="L642">
        <v>131632347</v>
      </c>
      <c r="M642" t="s">
        <v>765</v>
      </c>
    </row>
    <row r="643" spans="1:13" ht="15" x14ac:dyDescent="0.25">
      <c r="A643" t="s">
        <v>364</v>
      </c>
      <c r="B643" t="s">
        <v>11</v>
      </c>
      <c r="C643" t="s">
        <v>12</v>
      </c>
      <c r="D643" t="s">
        <v>29</v>
      </c>
      <c r="E643" t="s">
        <v>30</v>
      </c>
      <c r="F643" t="s">
        <v>40</v>
      </c>
      <c r="G643" t="s">
        <v>41</v>
      </c>
      <c r="H643" t="s">
        <v>346</v>
      </c>
      <c r="I643"/>
      <c r="J643"/>
      <c r="K643" t="s">
        <v>3914</v>
      </c>
      <c r="L643">
        <v>45109807</v>
      </c>
      <c r="M643" t="s">
        <v>765</v>
      </c>
    </row>
    <row r="644" spans="1:13" ht="15" x14ac:dyDescent="0.25">
      <c r="A644" t="s">
        <v>354</v>
      </c>
      <c r="B644" t="s">
        <v>11</v>
      </c>
      <c r="C644" t="s">
        <v>12</v>
      </c>
      <c r="D644" t="s">
        <v>29</v>
      </c>
      <c r="E644" t="s">
        <v>30</v>
      </c>
      <c r="F644" t="s">
        <v>40</v>
      </c>
      <c r="G644" t="s">
        <v>41</v>
      </c>
      <c r="H644" t="s">
        <v>346</v>
      </c>
      <c r="I644"/>
      <c r="J644"/>
      <c r="K644" t="s">
        <v>3915</v>
      </c>
      <c r="L644">
        <v>11908385</v>
      </c>
      <c r="M644" t="s">
        <v>765</v>
      </c>
    </row>
    <row r="645" spans="1:13" ht="15" x14ac:dyDescent="0.25">
      <c r="A645" t="s">
        <v>1868</v>
      </c>
      <c r="B645" t="s">
        <v>11</v>
      </c>
      <c r="C645" t="s">
        <v>12</v>
      </c>
      <c r="D645" t="s">
        <v>111</v>
      </c>
      <c r="E645" t="s">
        <v>120</v>
      </c>
      <c r="F645" t="s">
        <v>308</v>
      </c>
      <c r="G645" t="s">
        <v>309</v>
      </c>
      <c r="H645" t="s">
        <v>310</v>
      </c>
      <c r="I645"/>
      <c r="J645"/>
      <c r="K645" t="s">
        <v>3916</v>
      </c>
      <c r="L645">
        <v>5318767</v>
      </c>
      <c r="M645" t="s">
        <v>2776</v>
      </c>
    </row>
    <row r="646" spans="1:13" ht="15" x14ac:dyDescent="0.25">
      <c r="A646" t="s">
        <v>1624</v>
      </c>
      <c r="B646" t="s">
        <v>11</v>
      </c>
      <c r="C646" t="s">
        <v>12</v>
      </c>
      <c r="D646" t="s">
        <v>111</v>
      </c>
      <c r="E646" t="s">
        <v>120</v>
      </c>
      <c r="F646" t="s">
        <v>1592</v>
      </c>
      <c r="G646" t="s">
        <v>1598</v>
      </c>
      <c r="H646"/>
      <c r="I646"/>
      <c r="J646"/>
      <c r="K646" t="s">
        <v>3917</v>
      </c>
      <c r="L646">
        <v>161271</v>
      </c>
      <c r="M646" t="s">
        <v>2777</v>
      </c>
    </row>
    <row r="647" spans="1:13" ht="15" x14ac:dyDescent="0.25">
      <c r="A647" t="s">
        <v>1669</v>
      </c>
      <c r="B647" t="s">
        <v>11</v>
      </c>
      <c r="C647" t="s">
        <v>12</v>
      </c>
      <c r="D647" t="s">
        <v>111</v>
      </c>
      <c r="E647" t="s">
        <v>120</v>
      </c>
      <c r="F647" t="s">
        <v>1592</v>
      </c>
      <c r="G647" t="s">
        <v>1598</v>
      </c>
      <c r="H647"/>
      <c r="I647"/>
      <c r="J647"/>
      <c r="K647" t="s">
        <v>3918</v>
      </c>
      <c r="L647">
        <v>5320462</v>
      </c>
      <c r="M647" t="s">
        <v>2778</v>
      </c>
    </row>
    <row r="648" spans="1:13" ht="15" x14ac:dyDescent="0.25">
      <c r="A648" t="s">
        <v>1747</v>
      </c>
      <c r="B648" t="s">
        <v>11</v>
      </c>
      <c r="C648" t="s">
        <v>12</v>
      </c>
      <c r="D648" t="s">
        <v>36</v>
      </c>
      <c r="E648" t="s">
        <v>44</v>
      </c>
      <c r="F648" t="s">
        <v>370</v>
      </c>
      <c r="G648" t="s">
        <v>384</v>
      </c>
      <c r="H648"/>
      <c r="I648"/>
      <c r="J648"/>
      <c r="K648" t="s">
        <v>3919</v>
      </c>
      <c r="L648">
        <v>7420</v>
      </c>
      <c r="M648" t="s">
        <v>2059</v>
      </c>
    </row>
    <row r="649" spans="1:13" ht="15" x14ac:dyDescent="0.25">
      <c r="A649" t="s">
        <v>1733</v>
      </c>
      <c r="B649" t="s">
        <v>11</v>
      </c>
      <c r="C649" t="s">
        <v>12</v>
      </c>
      <c r="D649" t="s">
        <v>36</v>
      </c>
      <c r="E649" t="s">
        <v>44</v>
      </c>
      <c r="F649" t="s">
        <v>370</v>
      </c>
      <c r="G649" t="s">
        <v>1171</v>
      </c>
      <c r="H649" t="s">
        <v>1585</v>
      </c>
      <c r="I649"/>
      <c r="J649"/>
      <c r="K649" t="s">
        <v>3920</v>
      </c>
      <c r="L649">
        <v>7478</v>
      </c>
      <c r="M649" t="s">
        <v>2055</v>
      </c>
    </row>
    <row r="650" spans="1:13" ht="15" x14ac:dyDescent="0.25">
      <c r="A650" t="s">
        <v>191</v>
      </c>
      <c r="B650" t="s">
        <v>11</v>
      </c>
      <c r="C650" t="s">
        <v>12</v>
      </c>
      <c r="D650" t="s">
        <v>36</v>
      </c>
      <c r="E650" t="s">
        <v>37</v>
      </c>
      <c r="F650" t="s">
        <v>38</v>
      </c>
      <c r="G650" t="s">
        <v>38</v>
      </c>
      <c r="H650"/>
      <c r="I650"/>
      <c r="J650"/>
      <c r="K650" t="s">
        <v>3921</v>
      </c>
      <c r="L650">
        <v>5280536</v>
      </c>
      <c r="M650" t="s">
        <v>735</v>
      </c>
    </row>
    <row r="651" spans="1:13" ht="15" x14ac:dyDescent="0.25">
      <c r="A651" t="s">
        <v>1477</v>
      </c>
      <c r="B651" t="s">
        <v>11</v>
      </c>
      <c r="C651" t="s">
        <v>12</v>
      </c>
      <c r="D651" t="s">
        <v>111</v>
      </c>
      <c r="E651" t="s">
        <v>304</v>
      </c>
      <c r="F651" t="s">
        <v>305</v>
      </c>
      <c r="G651" t="s">
        <v>382</v>
      </c>
      <c r="H651"/>
      <c r="I651"/>
      <c r="J651"/>
      <c r="K651" t="s">
        <v>3922</v>
      </c>
      <c r="L651">
        <v>5317238</v>
      </c>
      <c r="M651" t="s">
        <v>2779</v>
      </c>
    </row>
    <row r="652" spans="1:13" ht="15" x14ac:dyDescent="0.25">
      <c r="A652" t="s">
        <v>1804</v>
      </c>
      <c r="B652" t="s">
        <v>11</v>
      </c>
      <c r="C652" t="s">
        <v>12</v>
      </c>
      <c r="D652" t="s">
        <v>111</v>
      </c>
      <c r="E652" t="s">
        <v>120</v>
      </c>
      <c r="F652" t="s">
        <v>1592</v>
      </c>
      <c r="G652" t="s">
        <v>1596</v>
      </c>
      <c r="H652"/>
      <c r="I652"/>
      <c r="J652"/>
      <c r="K652" t="s">
        <v>3923</v>
      </c>
      <c r="L652">
        <v>147459</v>
      </c>
      <c r="M652" t="s">
        <v>2780</v>
      </c>
    </row>
    <row r="653" spans="1:13" ht="15" x14ac:dyDescent="0.25">
      <c r="A653" t="s">
        <v>2388</v>
      </c>
      <c r="B653" t="s">
        <v>11</v>
      </c>
      <c r="C653" t="s">
        <v>12</v>
      </c>
      <c r="D653" t="s">
        <v>111</v>
      </c>
      <c r="E653" t="s">
        <v>120</v>
      </c>
      <c r="F653" t="s">
        <v>1592</v>
      </c>
      <c r="G653" t="s">
        <v>1638</v>
      </c>
      <c r="H653"/>
      <c r="I653"/>
      <c r="J653"/>
      <c r="K653" t="s">
        <v>3924</v>
      </c>
      <c r="L653">
        <v>5316900</v>
      </c>
      <c r="M653" t="s">
        <v>2781</v>
      </c>
    </row>
    <row r="654" spans="1:13" ht="15" x14ac:dyDescent="0.25">
      <c r="A654" t="s">
        <v>2389</v>
      </c>
      <c r="B654" t="s">
        <v>11</v>
      </c>
      <c r="C654" t="s">
        <v>12</v>
      </c>
      <c r="D654" t="s">
        <v>24</v>
      </c>
      <c r="E654" t="s">
        <v>476</v>
      </c>
      <c r="F654" t="s">
        <v>1828</v>
      </c>
      <c r="G654" t="s">
        <v>1829</v>
      </c>
      <c r="H654"/>
      <c r="I654"/>
      <c r="J654"/>
      <c r="K654" t="s">
        <v>3925</v>
      </c>
      <c r="L654">
        <v>46886813</v>
      </c>
      <c r="M654" t="s">
        <v>2782</v>
      </c>
    </row>
    <row r="655" spans="1:13" ht="15" x14ac:dyDescent="0.25">
      <c r="A655" t="s">
        <v>1827</v>
      </c>
      <c r="B655" t="s">
        <v>11</v>
      </c>
      <c r="C655" t="s">
        <v>12</v>
      </c>
      <c r="D655" t="s">
        <v>24</v>
      </c>
      <c r="E655" t="s">
        <v>476</v>
      </c>
      <c r="F655" t="s">
        <v>1828</v>
      </c>
      <c r="G655" t="s">
        <v>1829</v>
      </c>
      <c r="H655"/>
      <c r="I655"/>
      <c r="J655"/>
      <c r="K655" t="s">
        <v>3926</v>
      </c>
      <c r="L655">
        <v>46886812</v>
      </c>
      <c r="M655" t="s">
        <v>2783</v>
      </c>
    </row>
    <row r="656" spans="1:13" ht="15" x14ac:dyDescent="0.25">
      <c r="A656" t="s">
        <v>1312</v>
      </c>
      <c r="B656" t="s">
        <v>11</v>
      </c>
      <c r="C656" t="s">
        <v>12</v>
      </c>
      <c r="D656" t="s">
        <v>111</v>
      </c>
      <c r="E656" t="s">
        <v>120</v>
      </c>
      <c r="F656" t="s">
        <v>121</v>
      </c>
      <c r="G656" t="s">
        <v>122</v>
      </c>
      <c r="H656" t="s">
        <v>123</v>
      </c>
      <c r="I656"/>
      <c r="J656"/>
      <c r="K656" t="s">
        <v>3927</v>
      </c>
      <c r="L656">
        <v>46886755</v>
      </c>
      <c r="M656" t="s">
        <v>1520</v>
      </c>
    </row>
    <row r="657" spans="1:13" ht="15" x14ac:dyDescent="0.25">
      <c r="A657" t="s">
        <v>1613</v>
      </c>
      <c r="B657" t="s">
        <v>11</v>
      </c>
      <c r="C657" t="s">
        <v>12</v>
      </c>
      <c r="D657" t="s">
        <v>111</v>
      </c>
      <c r="E657" t="s">
        <v>120</v>
      </c>
      <c r="F657" t="s">
        <v>308</v>
      </c>
      <c r="G657" t="s">
        <v>309</v>
      </c>
      <c r="H657" t="s">
        <v>1614</v>
      </c>
      <c r="I657"/>
      <c r="J657"/>
      <c r="K657" t="s">
        <v>3928</v>
      </c>
      <c r="L657">
        <v>10621</v>
      </c>
      <c r="M657" t="s">
        <v>2011</v>
      </c>
    </row>
    <row r="658" spans="1:13" ht="15" x14ac:dyDescent="0.25">
      <c r="A658" t="s">
        <v>1014</v>
      </c>
      <c r="B658" t="s">
        <v>11</v>
      </c>
      <c r="C658" t="s">
        <v>12</v>
      </c>
      <c r="D658" t="s">
        <v>228</v>
      </c>
      <c r="E658" t="s">
        <v>233</v>
      </c>
      <c r="F658" t="s">
        <v>234</v>
      </c>
      <c r="G658" t="s">
        <v>234</v>
      </c>
      <c r="H658"/>
      <c r="I658"/>
      <c r="J658"/>
      <c r="K658" t="s">
        <v>3929</v>
      </c>
      <c r="L658">
        <v>5365022</v>
      </c>
      <c r="M658" t="s">
        <v>1134</v>
      </c>
    </row>
    <row r="659" spans="1:13" ht="15" x14ac:dyDescent="0.25">
      <c r="A659" t="s">
        <v>999</v>
      </c>
      <c r="B659" t="s">
        <v>11</v>
      </c>
      <c r="C659" t="s">
        <v>12</v>
      </c>
      <c r="D659" t="s">
        <v>228</v>
      </c>
      <c r="E659" t="s">
        <v>233</v>
      </c>
      <c r="F659" t="s">
        <v>234</v>
      </c>
      <c r="G659" t="s">
        <v>234</v>
      </c>
      <c r="H659"/>
      <c r="I659"/>
      <c r="J659"/>
      <c r="K659" t="s">
        <v>3930</v>
      </c>
      <c r="L659">
        <v>74138</v>
      </c>
      <c r="M659" t="s">
        <v>1127</v>
      </c>
    </row>
    <row r="660" spans="1:13" ht="15" x14ac:dyDescent="0.25">
      <c r="A660" t="s">
        <v>702</v>
      </c>
      <c r="B660" t="s">
        <v>11</v>
      </c>
      <c r="C660" t="s">
        <v>12</v>
      </c>
      <c r="D660" t="s">
        <v>36</v>
      </c>
      <c r="E660" t="s">
        <v>44</v>
      </c>
      <c r="F660" t="s">
        <v>696</v>
      </c>
      <c r="G660" t="s">
        <v>703</v>
      </c>
      <c r="H660"/>
      <c r="I660"/>
      <c r="J660"/>
      <c r="K660" t="s">
        <v>3931</v>
      </c>
      <c r="L660">
        <v>7929</v>
      </c>
      <c r="M660" t="s">
        <v>2784</v>
      </c>
    </row>
    <row r="661" spans="1:13" ht="15" x14ac:dyDescent="0.25">
      <c r="A661" t="s">
        <v>708</v>
      </c>
      <c r="B661" t="s">
        <v>11</v>
      </c>
      <c r="C661" t="s">
        <v>12</v>
      </c>
      <c r="D661" t="s">
        <v>36</v>
      </c>
      <c r="E661" t="s">
        <v>44</v>
      </c>
      <c r="F661"/>
      <c r="G661" t="s">
        <v>44</v>
      </c>
      <c r="H661"/>
      <c r="I661"/>
      <c r="J661"/>
      <c r="K661" t="s">
        <v>3932</v>
      </c>
      <c r="L661">
        <v>7500</v>
      </c>
      <c r="M661" t="s">
        <v>861</v>
      </c>
    </row>
    <row r="662" spans="1:13" ht="15" x14ac:dyDescent="0.25">
      <c r="A662" t="s">
        <v>1403</v>
      </c>
      <c r="B662" t="s">
        <v>11</v>
      </c>
      <c r="C662" t="s">
        <v>12</v>
      </c>
      <c r="D662" t="s">
        <v>29</v>
      </c>
      <c r="E662" t="s">
        <v>30</v>
      </c>
      <c r="F662" t="s">
        <v>31</v>
      </c>
      <c r="G662" t="s">
        <v>90</v>
      </c>
      <c r="H662"/>
      <c r="I662"/>
      <c r="J662"/>
      <c r="K662" t="s">
        <v>3933</v>
      </c>
      <c r="L662">
        <v>5366239</v>
      </c>
      <c r="M662" t="s">
        <v>2785</v>
      </c>
    </row>
    <row r="663" spans="1:13" ht="15" x14ac:dyDescent="0.25">
      <c r="A663" t="s">
        <v>2390</v>
      </c>
      <c r="B663" t="s">
        <v>11</v>
      </c>
      <c r="C663" t="s">
        <v>12</v>
      </c>
      <c r="D663" t="s">
        <v>29</v>
      </c>
      <c r="E663" t="s">
        <v>30</v>
      </c>
      <c r="F663" t="s">
        <v>31</v>
      </c>
      <c r="G663" t="s">
        <v>90</v>
      </c>
      <c r="H663"/>
      <c r="I663"/>
      <c r="J663"/>
      <c r="K663" t="s">
        <v>3934</v>
      </c>
      <c r="L663">
        <v>15289</v>
      </c>
      <c r="M663" t="s">
        <v>2785</v>
      </c>
    </row>
    <row r="664" spans="1:13" ht="15" x14ac:dyDescent="0.25">
      <c r="A664" t="s">
        <v>1435</v>
      </c>
      <c r="B664" t="s">
        <v>11</v>
      </c>
      <c r="C664" t="s">
        <v>12</v>
      </c>
      <c r="D664" t="s">
        <v>101</v>
      </c>
      <c r="E664" t="s">
        <v>1436</v>
      </c>
      <c r="F664"/>
      <c r="G664" t="s">
        <v>1436</v>
      </c>
      <c r="H664"/>
      <c r="I664"/>
      <c r="J664"/>
      <c r="K664" t="s">
        <v>3935</v>
      </c>
      <c r="L664">
        <v>10329</v>
      </c>
      <c r="M664" t="s">
        <v>2786</v>
      </c>
    </row>
    <row r="665" spans="1:13" ht="15" x14ac:dyDescent="0.25">
      <c r="A665" t="s">
        <v>1189</v>
      </c>
      <c r="B665" t="s">
        <v>11</v>
      </c>
      <c r="C665" t="s">
        <v>12</v>
      </c>
      <c r="D665" t="s">
        <v>228</v>
      </c>
      <c r="E665" t="s">
        <v>233</v>
      </c>
      <c r="F665" t="s">
        <v>234</v>
      </c>
      <c r="G665" t="s">
        <v>234</v>
      </c>
      <c r="H665"/>
      <c r="I665"/>
      <c r="J665"/>
      <c r="K665" t="s">
        <v>3936</v>
      </c>
      <c r="L665">
        <v>5364553</v>
      </c>
      <c r="M665" t="s">
        <v>2787</v>
      </c>
    </row>
    <row r="666" spans="1:13" ht="15" x14ac:dyDescent="0.25">
      <c r="A666" t="s">
        <v>1287</v>
      </c>
      <c r="B666" t="s">
        <v>11</v>
      </c>
      <c r="C666" t="s">
        <v>12</v>
      </c>
      <c r="D666" t="s">
        <v>228</v>
      </c>
      <c r="E666" t="s">
        <v>233</v>
      </c>
      <c r="F666" t="s">
        <v>600</v>
      </c>
      <c r="G666" t="s">
        <v>601</v>
      </c>
      <c r="H666"/>
      <c r="I666"/>
      <c r="J666"/>
      <c r="K666" t="s">
        <v>3937</v>
      </c>
      <c r="L666">
        <v>5364533</v>
      </c>
      <c r="M666" t="s">
        <v>2788</v>
      </c>
    </row>
    <row r="667" spans="1:13" ht="15" x14ac:dyDescent="0.25">
      <c r="A667" t="s">
        <v>599</v>
      </c>
      <c r="B667" t="s">
        <v>11</v>
      </c>
      <c r="C667" t="s">
        <v>12</v>
      </c>
      <c r="D667" t="s">
        <v>228</v>
      </c>
      <c r="E667" t="s">
        <v>233</v>
      </c>
      <c r="F667" t="s">
        <v>600</v>
      </c>
      <c r="G667" t="s">
        <v>601</v>
      </c>
      <c r="H667"/>
      <c r="I667"/>
      <c r="J667"/>
      <c r="K667" t="s">
        <v>3938</v>
      </c>
      <c r="L667">
        <v>543491</v>
      </c>
      <c r="M667" t="s">
        <v>2788</v>
      </c>
    </row>
    <row r="668" spans="1:13" ht="15" x14ac:dyDescent="0.25">
      <c r="A668" t="s">
        <v>618</v>
      </c>
      <c r="B668" t="s">
        <v>11</v>
      </c>
      <c r="C668" t="s">
        <v>12</v>
      </c>
      <c r="D668" t="s">
        <v>228</v>
      </c>
      <c r="E668" t="s">
        <v>233</v>
      </c>
      <c r="F668" t="s">
        <v>234</v>
      </c>
      <c r="G668" t="s">
        <v>234</v>
      </c>
      <c r="H668"/>
      <c r="I668"/>
      <c r="J668"/>
      <c r="K668" t="s">
        <v>3939</v>
      </c>
      <c r="L668">
        <v>6385060</v>
      </c>
      <c r="M668" t="s">
        <v>839</v>
      </c>
    </row>
    <row r="669" spans="1:13" ht="15" x14ac:dyDescent="0.25">
      <c r="A669" t="s">
        <v>879</v>
      </c>
      <c r="B669" t="s">
        <v>11</v>
      </c>
      <c r="C669" t="s">
        <v>12</v>
      </c>
      <c r="D669" t="s">
        <v>228</v>
      </c>
      <c r="E669" t="s">
        <v>229</v>
      </c>
      <c r="F669" t="s">
        <v>230</v>
      </c>
      <c r="G669" t="s">
        <v>230</v>
      </c>
      <c r="H669"/>
      <c r="I669"/>
      <c r="J669"/>
      <c r="K669" t="s">
        <v>3940</v>
      </c>
      <c r="L669">
        <v>12401</v>
      </c>
      <c r="M669" t="s">
        <v>1095</v>
      </c>
    </row>
    <row r="670" spans="1:13" ht="15" x14ac:dyDescent="0.25">
      <c r="A670" t="s">
        <v>232</v>
      </c>
      <c r="B670" t="s">
        <v>11</v>
      </c>
      <c r="C670" t="s">
        <v>12</v>
      </c>
      <c r="D670" t="s">
        <v>228</v>
      </c>
      <c r="E670" t="s">
        <v>233</v>
      </c>
      <c r="F670" t="s">
        <v>234</v>
      </c>
      <c r="G670" t="s">
        <v>234</v>
      </c>
      <c r="H670"/>
      <c r="I670"/>
      <c r="J670"/>
      <c r="K670" t="s">
        <v>3941</v>
      </c>
      <c r="L670">
        <v>5363340</v>
      </c>
      <c r="M670" t="s">
        <v>744</v>
      </c>
    </row>
    <row r="671" spans="1:13" ht="15" x14ac:dyDescent="0.25">
      <c r="A671" t="s">
        <v>551</v>
      </c>
      <c r="B671" t="s">
        <v>11</v>
      </c>
      <c r="C671" t="s">
        <v>12</v>
      </c>
      <c r="D671" t="s">
        <v>24</v>
      </c>
      <c r="E671" t="s">
        <v>25</v>
      </c>
      <c r="F671" t="s">
        <v>388</v>
      </c>
      <c r="G671" t="s">
        <v>491</v>
      </c>
      <c r="H671" t="s">
        <v>492</v>
      </c>
      <c r="I671"/>
      <c r="J671"/>
      <c r="K671" t="s">
        <v>3942</v>
      </c>
      <c r="L671">
        <v>10931</v>
      </c>
      <c r="M671" t="s">
        <v>2789</v>
      </c>
    </row>
    <row r="672" spans="1:13" ht="15" x14ac:dyDescent="0.25">
      <c r="A672" t="s">
        <v>561</v>
      </c>
      <c r="B672" t="s">
        <v>11</v>
      </c>
      <c r="C672" t="s">
        <v>12</v>
      </c>
      <c r="D672" t="s">
        <v>24</v>
      </c>
      <c r="E672" t="s">
        <v>25</v>
      </c>
      <c r="F672" t="s">
        <v>388</v>
      </c>
      <c r="G672" t="s">
        <v>389</v>
      </c>
      <c r="H672"/>
      <c r="I672"/>
      <c r="J672"/>
      <c r="K672" t="s">
        <v>3943</v>
      </c>
      <c r="L672">
        <v>965</v>
      </c>
      <c r="M672" t="s">
        <v>820</v>
      </c>
    </row>
    <row r="673" spans="1:13" ht="15" x14ac:dyDescent="0.25">
      <c r="A673" t="s">
        <v>1953</v>
      </c>
      <c r="B673" t="s">
        <v>11</v>
      </c>
      <c r="C673" t="s">
        <v>12</v>
      </c>
      <c r="D673" t="s">
        <v>24</v>
      </c>
      <c r="E673" t="s">
        <v>54</v>
      </c>
      <c r="F673" t="s">
        <v>55</v>
      </c>
      <c r="G673" t="s">
        <v>97</v>
      </c>
      <c r="H673"/>
      <c r="I673"/>
      <c r="J673"/>
      <c r="K673" t="s">
        <v>3944</v>
      </c>
      <c r="L673">
        <v>7439</v>
      </c>
      <c r="M673" t="s">
        <v>2126</v>
      </c>
    </row>
    <row r="674" spans="1:13" ht="15" x14ac:dyDescent="0.25">
      <c r="A674" t="s">
        <v>1412</v>
      </c>
      <c r="B674" t="s">
        <v>11</v>
      </c>
      <c r="C674" t="s">
        <v>12</v>
      </c>
      <c r="D674" t="s">
        <v>24</v>
      </c>
      <c r="E674" t="s">
        <v>54</v>
      </c>
      <c r="F674" t="s">
        <v>420</v>
      </c>
      <c r="G674" t="s">
        <v>420</v>
      </c>
      <c r="H674"/>
      <c r="I674"/>
      <c r="J674"/>
      <c r="K674" t="s">
        <v>3945</v>
      </c>
      <c r="L674">
        <v>91746444</v>
      </c>
      <c r="M674" t="s">
        <v>2790</v>
      </c>
    </row>
    <row r="675" spans="1:13" ht="15" x14ac:dyDescent="0.25">
      <c r="A675" t="s">
        <v>1196</v>
      </c>
      <c r="B675" t="s">
        <v>11</v>
      </c>
      <c r="C675" t="s">
        <v>12</v>
      </c>
      <c r="D675" t="s">
        <v>24</v>
      </c>
      <c r="E675" t="s">
        <v>25</v>
      </c>
      <c r="F675" t="s">
        <v>658</v>
      </c>
      <c r="G675" t="s">
        <v>658</v>
      </c>
      <c r="H675"/>
      <c r="I675"/>
      <c r="J675"/>
      <c r="K675" t="s">
        <v>3946</v>
      </c>
      <c r="L675">
        <v>91691416</v>
      </c>
      <c r="M675" t="s">
        <v>1243</v>
      </c>
    </row>
    <row r="676" spans="1:13" ht="15" x14ac:dyDescent="0.25">
      <c r="A676" t="s">
        <v>661</v>
      </c>
      <c r="B676" t="s">
        <v>11</v>
      </c>
      <c r="C676" t="s">
        <v>12</v>
      </c>
      <c r="D676" t="s">
        <v>24</v>
      </c>
      <c r="E676" t="s">
        <v>25</v>
      </c>
      <c r="F676" t="s">
        <v>658</v>
      </c>
      <c r="G676" t="s">
        <v>658</v>
      </c>
      <c r="H676"/>
      <c r="I676"/>
      <c r="J676"/>
      <c r="K676" t="s">
        <v>3947</v>
      </c>
      <c r="L676">
        <v>5364711</v>
      </c>
      <c r="M676" t="s">
        <v>2791</v>
      </c>
    </row>
    <row r="677" spans="1:13" ht="15" x14ac:dyDescent="0.25">
      <c r="A677" t="s">
        <v>1353</v>
      </c>
      <c r="B677" t="s">
        <v>11</v>
      </c>
      <c r="C677" t="s">
        <v>12</v>
      </c>
      <c r="D677" t="s">
        <v>24</v>
      </c>
      <c r="E677" t="s">
        <v>54</v>
      </c>
      <c r="F677" t="s">
        <v>986</v>
      </c>
      <c r="G677" t="s">
        <v>986</v>
      </c>
      <c r="H677"/>
      <c r="I677"/>
      <c r="J677"/>
      <c r="K677" t="s">
        <v>3948</v>
      </c>
      <c r="L677">
        <v>596103</v>
      </c>
      <c r="M677" t="s">
        <v>1528</v>
      </c>
    </row>
    <row r="678" spans="1:13" ht="15" x14ac:dyDescent="0.25">
      <c r="A678" t="s">
        <v>1377</v>
      </c>
      <c r="B678" t="s">
        <v>11</v>
      </c>
      <c r="C678" t="s">
        <v>12</v>
      </c>
      <c r="D678" t="s">
        <v>228</v>
      </c>
      <c r="E678" t="s">
        <v>229</v>
      </c>
      <c r="F678" t="s">
        <v>544</v>
      </c>
      <c r="G678" t="s">
        <v>544</v>
      </c>
      <c r="H678"/>
      <c r="I678"/>
      <c r="J678"/>
      <c r="K678" t="s">
        <v>3949</v>
      </c>
      <c r="L678">
        <v>67525</v>
      </c>
      <c r="M678" t="s">
        <v>1537</v>
      </c>
    </row>
    <row r="679" spans="1:13" ht="15" x14ac:dyDescent="0.25">
      <c r="A679" t="s">
        <v>1008</v>
      </c>
      <c r="B679" t="s">
        <v>11</v>
      </c>
      <c r="C679" t="s">
        <v>12</v>
      </c>
      <c r="D679" t="s">
        <v>670</v>
      </c>
      <c r="E679" t="s">
        <v>1009</v>
      </c>
      <c r="F679"/>
      <c r="G679" t="s">
        <v>1009</v>
      </c>
      <c r="H679"/>
      <c r="I679"/>
      <c r="J679"/>
      <c r="K679" t="s">
        <v>3950</v>
      </c>
      <c r="L679">
        <v>20993</v>
      </c>
      <c r="M679" t="s">
        <v>2792</v>
      </c>
    </row>
    <row r="680" spans="1:13" ht="15" x14ac:dyDescent="0.25">
      <c r="A680" t="s">
        <v>1816</v>
      </c>
      <c r="B680" t="s">
        <v>11</v>
      </c>
      <c r="C680" t="s">
        <v>12</v>
      </c>
      <c r="D680" t="s">
        <v>111</v>
      </c>
      <c r="E680" t="s">
        <v>304</v>
      </c>
      <c r="F680" t="s">
        <v>305</v>
      </c>
      <c r="G680" t="s">
        <v>382</v>
      </c>
      <c r="H680"/>
      <c r="I680"/>
      <c r="J680"/>
      <c r="K680" t="s">
        <v>3951</v>
      </c>
      <c r="L680">
        <v>637668</v>
      </c>
      <c r="M680" t="s">
        <v>2793</v>
      </c>
    </row>
    <row r="681" spans="1:13" ht="15" x14ac:dyDescent="0.25">
      <c r="A681" t="s">
        <v>529</v>
      </c>
      <c r="B681" t="s">
        <v>11</v>
      </c>
      <c r="C681" t="s">
        <v>12</v>
      </c>
      <c r="D681" t="s">
        <v>29</v>
      </c>
      <c r="E681" t="s">
        <v>30</v>
      </c>
      <c r="F681" t="s">
        <v>31</v>
      </c>
      <c r="G681" t="s">
        <v>32</v>
      </c>
      <c r="H681"/>
      <c r="I681"/>
      <c r="J681"/>
      <c r="K681" t="s">
        <v>3952</v>
      </c>
      <c r="L681">
        <v>20799</v>
      </c>
      <c r="M681" t="s">
        <v>1548</v>
      </c>
    </row>
    <row r="682" spans="1:13" ht="15" x14ac:dyDescent="0.25">
      <c r="A682" t="s">
        <v>103</v>
      </c>
      <c r="B682" t="s">
        <v>11</v>
      </c>
      <c r="C682" t="s">
        <v>12</v>
      </c>
      <c r="D682" t="s">
        <v>29</v>
      </c>
      <c r="E682" t="s">
        <v>30</v>
      </c>
      <c r="F682" t="s">
        <v>31</v>
      </c>
      <c r="G682" t="s">
        <v>32</v>
      </c>
      <c r="H682"/>
      <c r="I682"/>
      <c r="J682"/>
      <c r="K682" t="s">
        <v>3953</v>
      </c>
      <c r="L682">
        <v>6433417</v>
      </c>
      <c r="M682" t="s">
        <v>1548</v>
      </c>
    </row>
    <row r="683" spans="1:13" ht="15" x14ac:dyDescent="0.25">
      <c r="A683" t="s">
        <v>1404</v>
      </c>
      <c r="B683" t="s">
        <v>11</v>
      </c>
      <c r="C683" t="s">
        <v>12</v>
      </c>
      <c r="D683" t="s">
        <v>29</v>
      </c>
      <c r="E683" t="s">
        <v>30</v>
      </c>
      <c r="F683" t="s">
        <v>31</v>
      </c>
      <c r="G683" t="s">
        <v>32</v>
      </c>
      <c r="H683"/>
      <c r="I683"/>
      <c r="J683"/>
      <c r="K683" t="s">
        <v>3954</v>
      </c>
      <c r="L683">
        <v>5366266</v>
      </c>
      <c r="M683" t="s">
        <v>1548</v>
      </c>
    </row>
    <row r="684" spans="1:13" ht="15" x14ac:dyDescent="0.25">
      <c r="A684" t="s">
        <v>657</v>
      </c>
      <c r="B684" t="s">
        <v>11</v>
      </c>
      <c r="C684" t="s">
        <v>12</v>
      </c>
      <c r="D684" t="s">
        <v>24</v>
      </c>
      <c r="E684" t="s">
        <v>25</v>
      </c>
      <c r="F684" t="s">
        <v>658</v>
      </c>
      <c r="G684" t="s">
        <v>658</v>
      </c>
      <c r="H684"/>
      <c r="I684"/>
      <c r="J684"/>
      <c r="K684" t="s">
        <v>3955</v>
      </c>
      <c r="L684">
        <v>5363534</v>
      </c>
      <c r="M684" t="s">
        <v>2794</v>
      </c>
    </row>
    <row r="685" spans="1:13" ht="15" x14ac:dyDescent="0.25">
      <c r="A685" t="s">
        <v>1424</v>
      </c>
      <c r="B685" t="s">
        <v>11</v>
      </c>
      <c r="C685" t="s">
        <v>12</v>
      </c>
      <c r="D685" t="s">
        <v>228</v>
      </c>
      <c r="E685" t="s">
        <v>229</v>
      </c>
      <c r="F685" t="s">
        <v>230</v>
      </c>
      <c r="G685" t="s">
        <v>231</v>
      </c>
      <c r="H685"/>
      <c r="I685"/>
      <c r="J685"/>
      <c r="K685" t="s">
        <v>3956</v>
      </c>
      <c r="L685">
        <v>18591</v>
      </c>
      <c r="M685" t="s">
        <v>2795</v>
      </c>
    </row>
    <row r="686" spans="1:13" ht="15" x14ac:dyDescent="0.25">
      <c r="A686" t="s">
        <v>2251</v>
      </c>
      <c r="B686" t="s">
        <v>11</v>
      </c>
      <c r="C686" t="s">
        <v>12</v>
      </c>
      <c r="D686" t="s">
        <v>24</v>
      </c>
      <c r="E686" t="s">
        <v>54</v>
      </c>
      <c r="F686" t="s">
        <v>60</v>
      </c>
      <c r="G686" t="s">
        <v>60</v>
      </c>
      <c r="H686"/>
      <c r="I686"/>
      <c r="J686"/>
      <c r="K686" t="s">
        <v>3957</v>
      </c>
      <c r="L686">
        <v>10102</v>
      </c>
      <c r="M686" t="s">
        <v>1530</v>
      </c>
    </row>
    <row r="687" spans="1:13" ht="15" x14ac:dyDescent="0.25">
      <c r="A687" t="s">
        <v>2257</v>
      </c>
      <c r="B687" t="s">
        <v>11</v>
      </c>
      <c r="C687" t="s">
        <v>12</v>
      </c>
      <c r="D687" t="s">
        <v>24</v>
      </c>
      <c r="E687" t="s">
        <v>54</v>
      </c>
      <c r="F687" t="s">
        <v>60</v>
      </c>
      <c r="G687" t="s">
        <v>60</v>
      </c>
      <c r="H687"/>
      <c r="I687"/>
      <c r="J687"/>
      <c r="K687" t="s">
        <v>3958</v>
      </c>
      <c r="L687">
        <v>11229486</v>
      </c>
      <c r="M687" t="s">
        <v>1530</v>
      </c>
    </row>
    <row r="688" spans="1:13" ht="15" x14ac:dyDescent="0.25">
      <c r="A688" t="s">
        <v>1356</v>
      </c>
      <c r="B688" t="s">
        <v>11</v>
      </c>
      <c r="C688" t="s">
        <v>12</v>
      </c>
      <c r="D688" t="s">
        <v>24</v>
      </c>
      <c r="E688" t="s">
        <v>54</v>
      </c>
      <c r="F688" t="s">
        <v>60</v>
      </c>
      <c r="G688" t="s">
        <v>60</v>
      </c>
      <c r="H688"/>
      <c r="I688"/>
      <c r="J688"/>
      <c r="K688" t="s">
        <v>3959</v>
      </c>
      <c r="L688">
        <v>521210</v>
      </c>
      <c r="M688" t="s">
        <v>1530</v>
      </c>
    </row>
    <row r="689" spans="1:13" ht="15" x14ac:dyDescent="0.25">
      <c r="A689" t="s">
        <v>2391</v>
      </c>
      <c r="B689" t="s">
        <v>11</v>
      </c>
      <c r="C689" t="s">
        <v>12</v>
      </c>
      <c r="D689" t="s">
        <v>24</v>
      </c>
      <c r="E689" t="s">
        <v>54</v>
      </c>
      <c r="F689" t="s">
        <v>60</v>
      </c>
      <c r="G689" t="s">
        <v>60</v>
      </c>
      <c r="H689"/>
      <c r="I689"/>
      <c r="J689"/>
      <c r="K689" t="s">
        <v>3960</v>
      </c>
      <c r="L689">
        <v>71311566</v>
      </c>
      <c r="M689" t="s">
        <v>1530</v>
      </c>
    </row>
    <row r="690" spans="1:13" ht="15" x14ac:dyDescent="0.25">
      <c r="A690" t="s">
        <v>1960</v>
      </c>
      <c r="B690" t="s">
        <v>11</v>
      </c>
      <c r="C690" t="s">
        <v>12</v>
      </c>
      <c r="D690" t="s">
        <v>24</v>
      </c>
      <c r="E690" t="s">
        <v>54</v>
      </c>
      <c r="F690" t="s">
        <v>55</v>
      </c>
      <c r="G690" t="s">
        <v>97</v>
      </c>
      <c r="H690"/>
      <c r="I690"/>
      <c r="J690"/>
      <c r="K690" t="s">
        <v>3961</v>
      </c>
      <c r="L690">
        <v>527424</v>
      </c>
      <c r="M690" t="s">
        <v>2796</v>
      </c>
    </row>
    <row r="691" spans="1:13" ht="15" x14ac:dyDescent="0.25">
      <c r="A691" t="s">
        <v>1000</v>
      </c>
      <c r="B691" t="s">
        <v>11</v>
      </c>
      <c r="C691" t="s">
        <v>12</v>
      </c>
      <c r="D691" t="s">
        <v>228</v>
      </c>
      <c r="E691" t="s">
        <v>233</v>
      </c>
      <c r="F691" t="s">
        <v>234</v>
      </c>
      <c r="G691" t="s">
        <v>234</v>
      </c>
      <c r="H691"/>
      <c r="I691"/>
      <c r="J691"/>
      <c r="K691" t="s">
        <v>3962</v>
      </c>
      <c r="L691">
        <v>29075</v>
      </c>
      <c r="M691" t="s">
        <v>1128</v>
      </c>
    </row>
    <row r="692" spans="1:13" ht="15" x14ac:dyDescent="0.25">
      <c r="A692" t="s">
        <v>619</v>
      </c>
      <c r="B692" t="s">
        <v>11</v>
      </c>
      <c r="C692" t="s">
        <v>12</v>
      </c>
      <c r="D692" t="s">
        <v>228</v>
      </c>
      <c r="E692" t="s">
        <v>233</v>
      </c>
      <c r="F692" t="s">
        <v>234</v>
      </c>
      <c r="G692" t="s">
        <v>234</v>
      </c>
      <c r="H692"/>
      <c r="I692"/>
      <c r="J692"/>
      <c r="K692" t="s">
        <v>3963</v>
      </c>
      <c r="L692">
        <v>5364436</v>
      </c>
      <c r="M692" t="s">
        <v>840</v>
      </c>
    </row>
    <row r="693" spans="1:13" ht="15" x14ac:dyDescent="0.25">
      <c r="A693" t="s">
        <v>617</v>
      </c>
      <c r="B693" t="s">
        <v>11</v>
      </c>
      <c r="C693" t="s">
        <v>12</v>
      </c>
      <c r="D693" t="s">
        <v>228</v>
      </c>
      <c r="E693" t="s">
        <v>233</v>
      </c>
      <c r="F693" t="s">
        <v>234</v>
      </c>
      <c r="G693" t="s">
        <v>234</v>
      </c>
      <c r="H693"/>
      <c r="I693"/>
      <c r="J693"/>
      <c r="K693" t="s">
        <v>3964</v>
      </c>
      <c r="L693">
        <v>5365075</v>
      </c>
      <c r="M693" t="s">
        <v>2797</v>
      </c>
    </row>
    <row r="694" spans="1:13" ht="15" x14ac:dyDescent="0.25">
      <c r="A694" t="s">
        <v>616</v>
      </c>
      <c r="B694" t="s">
        <v>11</v>
      </c>
      <c r="C694" t="s">
        <v>12</v>
      </c>
      <c r="D694" t="s">
        <v>228</v>
      </c>
      <c r="E694" t="s">
        <v>233</v>
      </c>
      <c r="F694" t="s">
        <v>234</v>
      </c>
      <c r="G694" t="s">
        <v>234</v>
      </c>
      <c r="H694"/>
      <c r="I694"/>
      <c r="J694"/>
      <c r="K694" t="s">
        <v>3965</v>
      </c>
      <c r="L694">
        <v>5363629</v>
      </c>
      <c r="M694" t="s">
        <v>2798</v>
      </c>
    </row>
    <row r="695" spans="1:13" ht="15" x14ac:dyDescent="0.25">
      <c r="A695" t="s">
        <v>1947</v>
      </c>
      <c r="B695" t="s">
        <v>11</v>
      </c>
      <c r="C695" t="s">
        <v>12</v>
      </c>
      <c r="D695" t="s">
        <v>24</v>
      </c>
      <c r="E695" t="s">
        <v>54</v>
      </c>
      <c r="F695" t="s">
        <v>55</v>
      </c>
      <c r="G695" t="s">
        <v>56</v>
      </c>
      <c r="H695"/>
      <c r="I695"/>
      <c r="J695"/>
      <c r="K695" t="s">
        <v>3966</v>
      </c>
      <c r="L695">
        <v>93009</v>
      </c>
      <c r="M695" t="s">
        <v>2124</v>
      </c>
    </row>
    <row r="696" spans="1:13" ht="15" x14ac:dyDescent="0.25">
      <c r="A696" t="s">
        <v>887</v>
      </c>
      <c r="B696" t="s">
        <v>11</v>
      </c>
      <c r="C696" t="s">
        <v>12</v>
      </c>
      <c r="D696" t="s">
        <v>24</v>
      </c>
      <c r="E696" t="s">
        <v>54</v>
      </c>
      <c r="F696" t="s">
        <v>55</v>
      </c>
      <c r="G696" t="s">
        <v>58</v>
      </c>
      <c r="H696"/>
      <c r="I696"/>
      <c r="J696"/>
      <c r="K696" t="s">
        <v>3967</v>
      </c>
      <c r="L696">
        <v>5320250</v>
      </c>
      <c r="M696" t="s">
        <v>2799</v>
      </c>
    </row>
    <row r="697" spans="1:13" ht="15" x14ac:dyDescent="0.25">
      <c r="A697" t="s">
        <v>541</v>
      </c>
      <c r="B697" t="s">
        <v>11</v>
      </c>
      <c r="C697" t="s">
        <v>12</v>
      </c>
      <c r="D697" t="s">
        <v>111</v>
      </c>
      <c r="E697" t="s">
        <v>542</v>
      </c>
      <c r="F697"/>
      <c r="G697" t="s">
        <v>542</v>
      </c>
      <c r="H697"/>
      <c r="I697"/>
      <c r="J697"/>
      <c r="K697" t="s">
        <v>3968</v>
      </c>
      <c r="L697">
        <v>235414</v>
      </c>
      <c r="M697" t="s">
        <v>813</v>
      </c>
    </row>
    <row r="698" spans="1:13" ht="15" x14ac:dyDescent="0.25">
      <c r="A698" t="s">
        <v>1478</v>
      </c>
      <c r="B698" t="s">
        <v>11</v>
      </c>
      <c r="C698" t="s">
        <v>12</v>
      </c>
      <c r="D698" t="s">
        <v>36</v>
      </c>
      <c r="E698" t="s">
        <v>37</v>
      </c>
      <c r="F698" t="s">
        <v>396</v>
      </c>
      <c r="G698" t="s">
        <v>396</v>
      </c>
      <c r="H698"/>
      <c r="I698"/>
      <c r="J698"/>
      <c r="K698" t="s">
        <v>3969</v>
      </c>
      <c r="L698">
        <v>68146</v>
      </c>
      <c r="M698" t="s">
        <v>2800</v>
      </c>
    </row>
    <row r="699" spans="1:13" ht="15" x14ac:dyDescent="0.25">
      <c r="A699" t="s">
        <v>2169</v>
      </c>
      <c r="B699" t="s">
        <v>11</v>
      </c>
      <c r="C699" t="s">
        <v>12</v>
      </c>
      <c r="D699" t="s">
        <v>24</v>
      </c>
      <c r="E699" t="s">
        <v>54</v>
      </c>
      <c r="F699" t="s">
        <v>55</v>
      </c>
      <c r="G699" t="s">
        <v>56</v>
      </c>
      <c r="H699"/>
      <c r="I699"/>
      <c r="J699"/>
      <c r="K699" t="s">
        <v>3970</v>
      </c>
      <c r="L699">
        <v>107217</v>
      </c>
      <c r="M699" t="s">
        <v>2307</v>
      </c>
    </row>
    <row r="700" spans="1:13" ht="15" x14ac:dyDescent="0.25">
      <c r="A700" t="s">
        <v>1288</v>
      </c>
      <c r="B700" t="s">
        <v>11</v>
      </c>
      <c r="C700" t="s">
        <v>12</v>
      </c>
      <c r="D700" t="s">
        <v>228</v>
      </c>
      <c r="E700" t="s">
        <v>229</v>
      </c>
      <c r="F700" t="s">
        <v>544</v>
      </c>
      <c r="G700" t="s">
        <v>544</v>
      </c>
      <c r="H700"/>
      <c r="I700"/>
      <c r="J700"/>
      <c r="K700" t="s">
        <v>3971</v>
      </c>
      <c r="L700">
        <v>300474</v>
      </c>
      <c r="M700" t="s">
        <v>2801</v>
      </c>
    </row>
    <row r="701" spans="1:13" ht="15" x14ac:dyDescent="0.25">
      <c r="A701" t="s">
        <v>1358</v>
      </c>
      <c r="B701" t="s">
        <v>11</v>
      </c>
      <c r="C701" t="s">
        <v>12</v>
      </c>
      <c r="D701" t="s">
        <v>29</v>
      </c>
      <c r="E701" t="s">
        <v>30</v>
      </c>
      <c r="F701" t="s">
        <v>105</v>
      </c>
      <c r="G701" t="s">
        <v>106</v>
      </c>
      <c r="H701" t="s">
        <v>1020</v>
      </c>
      <c r="I701"/>
      <c r="J701"/>
      <c r="K701" t="s">
        <v>3972</v>
      </c>
      <c r="L701">
        <v>535380</v>
      </c>
      <c r="M701" t="s">
        <v>1531</v>
      </c>
    </row>
    <row r="702" spans="1:13" ht="15" x14ac:dyDescent="0.25">
      <c r="A702" t="s">
        <v>1211</v>
      </c>
      <c r="B702" t="s">
        <v>11</v>
      </c>
      <c r="C702" t="s">
        <v>12</v>
      </c>
      <c r="D702" t="s">
        <v>24</v>
      </c>
      <c r="E702" t="s">
        <v>25</v>
      </c>
      <c r="F702" t="s">
        <v>388</v>
      </c>
      <c r="G702" t="s">
        <v>1212</v>
      </c>
      <c r="H702"/>
      <c r="I702"/>
      <c r="J702"/>
      <c r="K702" t="s">
        <v>3973</v>
      </c>
      <c r="L702">
        <v>567820</v>
      </c>
      <c r="M702" t="s">
        <v>2802</v>
      </c>
    </row>
    <row r="703" spans="1:13" ht="15" x14ac:dyDescent="0.25">
      <c r="A703" t="s">
        <v>1191</v>
      </c>
      <c r="B703" t="s">
        <v>11</v>
      </c>
      <c r="C703" t="s">
        <v>12</v>
      </c>
      <c r="D703" t="s">
        <v>228</v>
      </c>
      <c r="E703" t="s">
        <v>233</v>
      </c>
      <c r="F703" t="s">
        <v>600</v>
      </c>
      <c r="G703" t="s">
        <v>604</v>
      </c>
      <c r="H703" t="s">
        <v>1192</v>
      </c>
      <c r="I703"/>
      <c r="J703"/>
      <c r="K703" t="s">
        <v>3974</v>
      </c>
      <c r="L703">
        <v>139904</v>
      </c>
      <c r="M703" t="s">
        <v>2803</v>
      </c>
    </row>
    <row r="704" spans="1:13" ht="15" x14ac:dyDescent="0.25">
      <c r="A704" t="s">
        <v>1971</v>
      </c>
      <c r="B704" t="s">
        <v>11</v>
      </c>
      <c r="C704" t="s">
        <v>12</v>
      </c>
      <c r="D704" t="s">
        <v>24</v>
      </c>
      <c r="E704" t="s">
        <v>54</v>
      </c>
      <c r="F704" t="s">
        <v>55</v>
      </c>
      <c r="G704" t="s">
        <v>56</v>
      </c>
      <c r="H704"/>
      <c r="I704"/>
      <c r="J704"/>
      <c r="K704" t="s">
        <v>3975</v>
      </c>
      <c r="L704">
        <v>121719</v>
      </c>
      <c r="M704" t="s">
        <v>2130</v>
      </c>
    </row>
    <row r="705" spans="1:13" ht="15" x14ac:dyDescent="0.25">
      <c r="A705" t="s">
        <v>1359</v>
      </c>
      <c r="B705" t="s">
        <v>11</v>
      </c>
      <c r="C705" t="s">
        <v>12</v>
      </c>
      <c r="D705" t="s">
        <v>24</v>
      </c>
      <c r="E705" t="s">
        <v>54</v>
      </c>
      <c r="F705" t="s">
        <v>55</v>
      </c>
      <c r="G705" t="s">
        <v>56</v>
      </c>
      <c r="H705"/>
      <c r="I705"/>
      <c r="J705"/>
      <c r="K705" t="s">
        <v>3976</v>
      </c>
      <c r="L705">
        <v>88302</v>
      </c>
      <c r="M705" t="s">
        <v>2804</v>
      </c>
    </row>
    <row r="706" spans="1:13" ht="15" x14ac:dyDescent="0.25">
      <c r="A706" t="s">
        <v>2160</v>
      </c>
      <c r="B706" t="s">
        <v>11</v>
      </c>
      <c r="C706" t="s">
        <v>12</v>
      </c>
      <c r="D706" t="s">
        <v>24</v>
      </c>
      <c r="E706" t="s">
        <v>54</v>
      </c>
      <c r="F706" t="s">
        <v>55</v>
      </c>
      <c r="G706" t="s">
        <v>56</v>
      </c>
      <c r="H706"/>
      <c r="I706"/>
      <c r="J706"/>
      <c r="K706" t="s">
        <v>3977</v>
      </c>
      <c r="L706">
        <v>10931630</v>
      </c>
      <c r="M706" t="s">
        <v>2804</v>
      </c>
    </row>
    <row r="707" spans="1:13" ht="15" x14ac:dyDescent="0.25">
      <c r="A707" t="s">
        <v>1976</v>
      </c>
      <c r="B707" t="s">
        <v>11</v>
      </c>
      <c r="C707" t="s">
        <v>12</v>
      </c>
      <c r="D707" t="s">
        <v>24</v>
      </c>
      <c r="E707" t="s">
        <v>54</v>
      </c>
      <c r="F707" t="s">
        <v>55</v>
      </c>
      <c r="G707" t="s">
        <v>56</v>
      </c>
      <c r="H707"/>
      <c r="I707"/>
      <c r="J707"/>
      <c r="K707" t="s">
        <v>3978</v>
      </c>
      <c r="L707">
        <v>102667</v>
      </c>
      <c r="M707" t="s">
        <v>2804</v>
      </c>
    </row>
    <row r="708" spans="1:13" ht="15" x14ac:dyDescent="0.25">
      <c r="A708" t="s">
        <v>2181</v>
      </c>
      <c r="B708" t="s">
        <v>11</v>
      </c>
      <c r="C708" t="s">
        <v>12</v>
      </c>
      <c r="D708" t="s">
        <v>24</v>
      </c>
      <c r="E708" t="s">
        <v>54</v>
      </c>
      <c r="F708" t="s">
        <v>55</v>
      </c>
      <c r="G708" t="s">
        <v>56</v>
      </c>
      <c r="H708"/>
      <c r="I708"/>
      <c r="J708"/>
      <c r="K708" t="s">
        <v>3979</v>
      </c>
      <c r="L708">
        <v>12314318</v>
      </c>
      <c r="M708" t="s">
        <v>2804</v>
      </c>
    </row>
    <row r="709" spans="1:13" ht="15" x14ac:dyDescent="0.25">
      <c r="A709" t="s">
        <v>1061</v>
      </c>
      <c r="B709" t="s">
        <v>11</v>
      </c>
      <c r="C709" t="s">
        <v>12</v>
      </c>
      <c r="D709" t="s">
        <v>29</v>
      </c>
      <c r="E709" t="s">
        <v>30</v>
      </c>
      <c r="F709" t="s">
        <v>105</v>
      </c>
      <c r="G709" t="s">
        <v>106</v>
      </c>
      <c r="H709"/>
      <c r="I709"/>
      <c r="J709"/>
      <c r="K709" t="s">
        <v>3980</v>
      </c>
      <c r="L709">
        <v>61303</v>
      </c>
      <c r="M709" t="s">
        <v>1148</v>
      </c>
    </row>
    <row r="710" spans="1:13" ht="15" x14ac:dyDescent="0.25">
      <c r="A710" t="s">
        <v>1453</v>
      </c>
      <c r="B710" t="s">
        <v>11</v>
      </c>
      <c r="C710" t="s">
        <v>12</v>
      </c>
      <c r="D710" t="s">
        <v>36</v>
      </c>
      <c r="E710" t="s">
        <v>44</v>
      </c>
      <c r="F710" t="s">
        <v>370</v>
      </c>
      <c r="G710" t="s">
        <v>391</v>
      </c>
      <c r="H710"/>
      <c r="I710"/>
      <c r="J710"/>
      <c r="K710" t="s">
        <v>3981</v>
      </c>
      <c r="L710">
        <v>6818</v>
      </c>
      <c r="M710" t="s">
        <v>2805</v>
      </c>
    </row>
    <row r="711" spans="1:13" ht="15" x14ac:dyDescent="0.25">
      <c r="A711" t="s">
        <v>1254</v>
      </c>
      <c r="B711" t="s">
        <v>11</v>
      </c>
      <c r="C711" t="s">
        <v>12</v>
      </c>
      <c r="D711" t="s">
        <v>228</v>
      </c>
      <c r="E711" t="s">
        <v>233</v>
      </c>
      <c r="F711" t="s">
        <v>692</v>
      </c>
      <c r="G711" t="s">
        <v>692</v>
      </c>
      <c r="H711"/>
      <c r="I711"/>
      <c r="J711"/>
      <c r="K711" t="s">
        <v>3982</v>
      </c>
      <c r="L711">
        <v>5320377</v>
      </c>
      <c r="M711" t="s">
        <v>2806</v>
      </c>
    </row>
    <row r="712" spans="1:13" ht="15" x14ac:dyDescent="0.25">
      <c r="A712" t="s">
        <v>1851</v>
      </c>
      <c r="B712" t="s">
        <v>11</v>
      </c>
      <c r="C712" t="s">
        <v>12</v>
      </c>
      <c r="D712" t="s">
        <v>24</v>
      </c>
      <c r="E712" t="s">
        <v>25</v>
      </c>
      <c r="F712" t="s">
        <v>658</v>
      </c>
      <c r="G712" t="s">
        <v>658</v>
      </c>
      <c r="H712"/>
      <c r="I712"/>
      <c r="J712"/>
      <c r="K712" t="s">
        <v>3983</v>
      </c>
      <c r="L712">
        <v>75084</v>
      </c>
      <c r="M712" t="s">
        <v>2094</v>
      </c>
    </row>
    <row r="713" spans="1:13" ht="15" x14ac:dyDescent="0.25">
      <c r="A713" t="s">
        <v>1429</v>
      </c>
      <c r="B713" t="s">
        <v>11</v>
      </c>
      <c r="C713" t="s">
        <v>12</v>
      </c>
      <c r="D713" t="s">
        <v>36</v>
      </c>
      <c r="E713" t="s">
        <v>480</v>
      </c>
      <c r="F713" t="s">
        <v>481</v>
      </c>
      <c r="G713" t="s">
        <v>481</v>
      </c>
      <c r="H713"/>
      <c r="I713"/>
      <c r="J713"/>
      <c r="K713" t="s">
        <v>3984</v>
      </c>
      <c r="L713">
        <v>5318557</v>
      </c>
      <c r="M713" t="s">
        <v>2807</v>
      </c>
    </row>
    <row r="714" spans="1:13" ht="15" x14ac:dyDescent="0.25">
      <c r="A714" t="s">
        <v>1010</v>
      </c>
      <c r="B714" t="s">
        <v>11</v>
      </c>
      <c r="C714" t="s">
        <v>12</v>
      </c>
      <c r="D714" t="s">
        <v>670</v>
      </c>
      <c r="E714" t="s">
        <v>1009</v>
      </c>
      <c r="F714"/>
      <c r="G714" t="s">
        <v>1009</v>
      </c>
      <c r="H714"/>
      <c r="I714"/>
      <c r="J714"/>
      <c r="K714" t="s">
        <v>3985</v>
      </c>
      <c r="L714">
        <v>18815</v>
      </c>
      <c r="M714" t="s">
        <v>1131</v>
      </c>
    </row>
    <row r="715" spans="1:13" ht="15" x14ac:dyDescent="0.25">
      <c r="A715" t="s">
        <v>1297</v>
      </c>
      <c r="B715" t="s">
        <v>11</v>
      </c>
      <c r="C715" t="s">
        <v>12</v>
      </c>
      <c r="D715" t="s">
        <v>228</v>
      </c>
      <c r="E715" t="s">
        <v>229</v>
      </c>
      <c r="F715" t="s">
        <v>544</v>
      </c>
      <c r="G715" t="s">
        <v>544</v>
      </c>
      <c r="H715"/>
      <c r="I715"/>
      <c r="J715"/>
      <c r="K715" t="s">
        <v>3986</v>
      </c>
      <c r="L715">
        <v>545756</v>
      </c>
      <c r="M715" t="s">
        <v>1513</v>
      </c>
    </row>
    <row r="716" spans="1:13" ht="15" x14ac:dyDescent="0.25">
      <c r="A716" t="s">
        <v>594</v>
      </c>
      <c r="B716" t="s">
        <v>11</v>
      </c>
      <c r="C716" t="s">
        <v>12</v>
      </c>
      <c r="D716" t="s">
        <v>24</v>
      </c>
      <c r="E716" t="s">
        <v>25</v>
      </c>
      <c r="F716" t="s">
        <v>489</v>
      </c>
      <c r="G716" t="s">
        <v>489</v>
      </c>
      <c r="H716"/>
      <c r="I716"/>
      <c r="J716"/>
      <c r="K716" t="s">
        <v>3987</v>
      </c>
      <c r="L716">
        <v>16237</v>
      </c>
      <c r="M716" t="s">
        <v>2808</v>
      </c>
    </row>
    <row r="717" spans="1:13" ht="15" x14ac:dyDescent="0.25">
      <c r="A717" t="s">
        <v>1955</v>
      </c>
      <c r="B717" t="s">
        <v>11</v>
      </c>
      <c r="C717" t="s">
        <v>12</v>
      </c>
      <c r="D717" t="s">
        <v>24</v>
      </c>
      <c r="E717" t="s">
        <v>54</v>
      </c>
      <c r="F717" t="s">
        <v>60</v>
      </c>
      <c r="G717" t="s">
        <v>127</v>
      </c>
      <c r="H717"/>
      <c r="I717"/>
      <c r="J717"/>
      <c r="K717" t="s">
        <v>3988</v>
      </c>
      <c r="L717">
        <v>6430754</v>
      </c>
      <c r="M717" t="s">
        <v>2809</v>
      </c>
    </row>
    <row r="718" spans="1:13" ht="15" x14ac:dyDescent="0.25">
      <c r="A718" t="s">
        <v>59</v>
      </c>
      <c r="B718" t="s">
        <v>11</v>
      </c>
      <c r="C718" t="s">
        <v>12</v>
      </c>
      <c r="D718" t="s">
        <v>24</v>
      </c>
      <c r="E718" t="s">
        <v>54</v>
      </c>
      <c r="F718" t="s">
        <v>60</v>
      </c>
      <c r="G718" t="s">
        <v>60</v>
      </c>
      <c r="H718"/>
      <c r="I718"/>
      <c r="J718"/>
      <c r="K718" t="s">
        <v>3989</v>
      </c>
      <c r="L718">
        <v>445070</v>
      </c>
      <c r="M718" t="s">
        <v>725</v>
      </c>
    </row>
    <row r="719" spans="1:13" ht="15" x14ac:dyDescent="0.25">
      <c r="A719" t="s">
        <v>683</v>
      </c>
      <c r="B719" t="s">
        <v>11</v>
      </c>
      <c r="C719" t="s">
        <v>12</v>
      </c>
      <c r="D719" t="s">
        <v>101</v>
      </c>
      <c r="E719" t="s">
        <v>313</v>
      </c>
      <c r="F719" t="s">
        <v>684</v>
      </c>
      <c r="G719" t="s">
        <v>684</v>
      </c>
      <c r="H719"/>
      <c r="I719"/>
      <c r="J719"/>
      <c r="K719" t="s">
        <v>3990</v>
      </c>
      <c r="L719">
        <v>193761</v>
      </c>
      <c r="M719" t="s">
        <v>2810</v>
      </c>
    </row>
    <row r="720" spans="1:13" ht="15" x14ac:dyDescent="0.25">
      <c r="A720" t="s">
        <v>659</v>
      </c>
      <c r="B720" t="s">
        <v>11</v>
      </c>
      <c r="C720" t="s">
        <v>12</v>
      </c>
      <c r="D720" t="s">
        <v>24</v>
      </c>
      <c r="E720" t="s">
        <v>25</v>
      </c>
      <c r="F720" t="s">
        <v>658</v>
      </c>
      <c r="G720" t="s">
        <v>658</v>
      </c>
      <c r="H720"/>
      <c r="I720"/>
      <c r="J720"/>
      <c r="K720" t="s">
        <v>3991</v>
      </c>
      <c r="L720">
        <v>5363285</v>
      </c>
      <c r="M720" t="s">
        <v>854</v>
      </c>
    </row>
    <row r="721" spans="1:13" ht="15" x14ac:dyDescent="0.25">
      <c r="A721" t="s">
        <v>1757</v>
      </c>
      <c r="B721" t="s">
        <v>11</v>
      </c>
      <c r="C721" t="s">
        <v>12</v>
      </c>
      <c r="D721" t="s">
        <v>36</v>
      </c>
      <c r="E721" t="s">
        <v>44</v>
      </c>
      <c r="F721" t="s">
        <v>370</v>
      </c>
      <c r="G721" t="s">
        <v>391</v>
      </c>
      <c r="H721"/>
      <c r="I721"/>
      <c r="J721"/>
      <c r="K721" t="s">
        <v>3992</v>
      </c>
      <c r="L721">
        <v>6781</v>
      </c>
      <c r="M721" t="s">
        <v>2811</v>
      </c>
    </row>
    <row r="722" spans="1:13" ht="15" x14ac:dyDescent="0.25">
      <c r="A722" t="s">
        <v>1079</v>
      </c>
      <c r="B722" t="s">
        <v>11</v>
      </c>
      <c r="C722" t="s">
        <v>12</v>
      </c>
      <c r="D722" t="s">
        <v>13</v>
      </c>
      <c r="E722" t="s">
        <v>1080</v>
      </c>
      <c r="F722" t="s">
        <v>1081</v>
      </c>
      <c r="G722" t="s">
        <v>1081</v>
      </c>
      <c r="H722"/>
      <c r="I722"/>
      <c r="J722"/>
      <c r="K722" t="s">
        <v>3993</v>
      </c>
      <c r="L722">
        <v>11020460</v>
      </c>
      <c r="M722" t="s">
        <v>2812</v>
      </c>
    </row>
    <row r="723" spans="1:13" ht="15" x14ac:dyDescent="0.25">
      <c r="A723" t="s">
        <v>1758</v>
      </c>
      <c r="B723" t="s">
        <v>11</v>
      </c>
      <c r="C723" t="s">
        <v>12</v>
      </c>
      <c r="D723" t="s">
        <v>36</v>
      </c>
      <c r="E723" t="s">
        <v>44</v>
      </c>
      <c r="F723" t="s">
        <v>370</v>
      </c>
      <c r="G723" t="s">
        <v>391</v>
      </c>
      <c r="H723"/>
      <c r="I723"/>
      <c r="J723"/>
      <c r="K723" t="s">
        <v>3994</v>
      </c>
      <c r="L723">
        <v>6782</v>
      </c>
      <c r="M723" t="s">
        <v>2813</v>
      </c>
    </row>
    <row r="724" spans="1:13" ht="15" x14ac:dyDescent="0.25">
      <c r="A724" t="s">
        <v>602</v>
      </c>
      <c r="B724" t="s">
        <v>11</v>
      </c>
      <c r="C724" t="s">
        <v>12</v>
      </c>
      <c r="D724" t="s">
        <v>24</v>
      </c>
      <c r="E724" t="s">
        <v>25</v>
      </c>
      <c r="F724" t="s">
        <v>489</v>
      </c>
      <c r="G724" t="s">
        <v>489</v>
      </c>
      <c r="H724"/>
      <c r="I724"/>
      <c r="J724"/>
      <c r="K724" t="s">
        <v>3995</v>
      </c>
      <c r="L724">
        <v>38762</v>
      </c>
      <c r="M724" t="s">
        <v>2814</v>
      </c>
    </row>
    <row r="725" spans="1:13" ht="15" x14ac:dyDescent="0.25">
      <c r="A725" t="s">
        <v>1197</v>
      </c>
      <c r="B725" t="s">
        <v>11</v>
      </c>
      <c r="C725" t="s">
        <v>12</v>
      </c>
      <c r="D725" t="s">
        <v>24</v>
      </c>
      <c r="E725" t="s">
        <v>25</v>
      </c>
      <c r="F725" t="s">
        <v>26</v>
      </c>
      <c r="G725" t="s">
        <v>52</v>
      </c>
      <c r="H725"/>
      <c r="I725"/>
      <c r="J725"/>
      <c r="K725" t="s">
        <v>3996</v>
      </c>
      <c r="L725">
        <v>12487634</v>
      </c>
      <c r="M725" t="s">
        <v>1244</v>
      </c>
    </row>
    <row r="726" spans="1:13" ht="15" x14ac:dyDescent="0.25">
      <c r="A726" t="s">
        <v>1470</v>
      </c>
      <c r="B726" t="s">
        <v>11</v>
      </c>
      <c r="C726" t="s">
        <v>12</v>
      </c>
      <c r="D726" t="s">
        <v>101</v>
      </c>
      <c r="E726" t="s">
        <v>118</v>
      </c>
      <c r="F726"/>
      <c r="G726" t="s">
        <v>118</v>
      </c>
      <c r="H726"/>
      <c r="I726"/>
      <c r="J726"/>
      <c r="K726" t="s">
        <v>3997</v>
      </c>
      <c r="L726">
        <v>442363</v>
      </c>
      <c r="M726" t="s">
        <v>1566</v>
      </c>
    </row>
    <row r="727" spans="1:13" ht="15" x14ac:dyDescent="0.25">
      <c r="A727" t="s">
        <v>92</v>
      </c>
      <c r="B727" t="s">
        <v>11</v>
      </c>
      <c r="C727" t="s">
        <v>12</v>
      </c>
      <c r="D727" t="s">
        <v>24</v>
      </c>
      <c r="E727" t="s">
        <v>25</v>
      </c>
      <c r="F727" t="s">
        <v>26</v>
      </c>
      <c r="G727" t="s">
        <v>26</v>
      </c>
      <c r="H727"/>
      <c r="I727"/>
      <c r="J727"/>
      <c r="K727" t="s">
        <v>3998</v>
      </c>
      <c r="L727">
        <v>243696</v>
      </c>
      <c r="M727" t="s">
        <v>2815</v>
      </c>
    </row>
    <row r="728" spans="1:13" ht="15" x14ac:dyDescent="0.25">
      <c r="A728" t="s">
        <v>1180</v>
      </c>
      <c r="B728" t="s">
        <v>11</v>
      </c>
      <c r="C728" t="s">
        <v>12</v>
      </c>
      <c r="D728" t="s">
        <v>1181</v>
      </c>
      <c r="E728" t="s">
        <v>1182</v>
      </c>
      <c r="F728" t="s">
        <v>1183</v>
      </c>
      <c r="G728" t="s">
        <v>1184</v>
      </c>
      <c r="H728" t="s">
        <v>1185</v>
      </c>
      <c r="I728"/>
      <c r="J728"/>
      <c r="K728" t="s">
        <v>3999</v>
      </c>
      <c r="L728">
        <v>87771</v>
      </c>
      <c r="M728" t="s">
        <v>1241</v>
      </c>
    </row>
    <row r="729" spans="1:13" ht="15" x14ac:dyDescent="0.25">
      <c r="A729" t="s">
        <v>864</v>
      </c>
      <c r="B729" t="s">
        <v>11</v>
      </c>
      <c r="C729" t="s">
        <v>12</v>
      </c>
      <c r="D729" t="s">
        <v>228</v>
      </c>
      <c r="E729" t="s">
        <v>229</v>
      </c>
      <c r="F729" t="s">
        <v>230</v>
      </c>
      <c r="G729" t="s">
        <v>230</v>
      </c>
      <c r="H729"/>
      <c r="I729"/>
      <c r="J729"/>
      <c r="K729" t="s">
        <v>4000</v>
      </c>
      <c r="L729">
        <v>11008</v>
      </c>
      <c r="M729" t="s">
        <v>1082</v>
      </c>
    </row>
    <row r="730" spans="1:13" ht="15" x14ac:dyDescent="0.25">
      <c r="A730" t="s">
        <v>1068</v>
      </c>
      <c r="B730" t="s">
        <v>11</v>
      </c>
      <c r="C730" t="s">
        <v>12</v>
      </c>
      <c r="D730" t="s">
        <v>24</v>
      </c>
      <c r="E730" t="s">
        <v>54</v>
      </c>
      <c r="F730" t="s">
        <v>60</v>
      </c>
      <c r="G730" t="s">
        <v>1069</v>
      </c>
      <c r="H730"/>
      <c r="I730"/>
      <c r="J730"/>
      <c r="K730" t="s">
        <v>4001</v>
      </c>
      <c r="L730">
        <v>165536</v>
      </c>
      <c r="M730" t="s">
        <v>1149</v>
      </c>
    </row>
    <row r="731" spans="1:13" ht="15" x14ac:dyDescent="0.25">
      <c r="A731" t="s">
        <v>1343</v>
      </c>
      <c r="B731" t="s">
        <v>11</v>
      </c>
      <c r="C731" t="s">
        <v>12</v>
      </c>
      <c r="D731" t="s">
        <v>24</v>
      </c>
      <c r="E731" t="s">
        <v>54</v>
      </c>
      <c r="F731" t="s">
        <v>60</v>
      </c>
      <c r="G731" t="s">
        <v>127</v>
      </c>
      <c r="H731"/>
      <c r="I731"/>
      <c r="J731"/>
      <c r="K731" t="s">
        <v>4002</v>
      </c>
      <c r="L731">
        <v>612605</v>
      </c>
      <c r="M731" t="s">
        <v>1527</v>
      </c>
    </row>
    <row r="732" spans="1:13" ht="15" x14ac:dyDescent="0.25">
      <c r="A732" t="s">
        <v>1346</v>
      </c>
      <c r="B732" t="s">
        <v>11</v>
      </c>
      <c r="C732" t="s">
        <v>12</v>
      </c>
      <c r="D732" t="s">
        <v>670</v>
      </c>
      <c r="E732" t="s">
        <v>1347</v>
      </c>
      <c r="F732"/>
      <c r="G732" t="s">
        <v>1347</v>
      </c>
      <c r="H732"/>
      <c r="I732"/>
      <c r="J732"/>
      <c r="K732" t="s">
        <v>4003</v>
      </c>
      <c r="L732">
        <v>11085230</v>
      </c>
      <c r="M732" t="s">
        <v>2816</v>
      </c>
    </row>
    <row r="733" spans="1:13" ht="15" x14ac:dyDescent="0.25">
      <c r="A733" t="s">
        <v>154</v>
      </c>
      <c r="B733" t="s">
        <v>11</v>
      </c>
      <c r="C733" t="s">
        <v>12</v>
      </c>
      <c r="D733" t="s">
        <v>29</v>
      </c>
      <c r="E733" t="s">
        <v>30</v>
      </c>
      <c r="F733" t="s">
        <v>105</v>
      </c>
      <c r="G733" t="s">
        <v>114</v>
      </c>
      <c r="H733" t="s">
        <v>152</v>
      </c>
      <c r="I733"/>
      <c r="J733"/>
      <c r="K733" t="s">
        <v>4004</v>
      </c>
      <c r="L733">
        <v>5283335</v>
      </c>
      <c r="M733" t="s">
        <v>2817</v>
      </c>
    </row>
    <row r="734" spans="1:13" ht="15" x14ac:dyDescent="0.25">
      <c r="A734" t="s">
        <v>1805</v>
      </c>
      <c r="B734" t="s">
        <v>11</v>
      </c>
      <c r="C734" t="s">
        <v>12</v>
      </c>
      <c r="D734" t="s">
        <v>36</v>
      </c>
      <c r="E734" t="s">
        <v>37</v>
      </c>
      <c r="F734" t="s">
        <v>38</v>
      </c>
      <c r="G734" t="s">
        <v>38</v>
      </c>
      <c r="H734"/>
      <c r="I734"/>
      <c r="J734"/>
      <c r="K734" t="s">
        <v>4005</v>
      </c>
      <c r="L734">
        <v>1549095</v>
      </c>
      <c r="M734" t="s">
        <v>2818</v>
      </c>
    </row>
    <row r="735" spans="1:13" ht="15" x14ac:dyDescent="0.25">
      <c r="A735" t="s">
        <v>1821</v>
      </c>
      <c r="B735" t="s">
        <v>11</v>
      </c>
      <c r="C735" t="s">
        <v>12</v>
      </c>
      <c r="D735" t="s">
        <v>36</v>
      </c>
      <c r="E735" t="s">
        <v>44</v>
      </c>
      <c r="F735" t="s">
        <v>323</v>
      </c>
      <c r="G735" t="s">
        <v>323</v>
      </c>
      <c r="H735"/>
      <c r="I735"/>
      <c r="J735"/>
      <c r="K735" t="s">
        <v>4006</v>
      </c>
      <c r="L735">
        <v>62453</v>
      </c>
      <c r="M735" t="s">
        <v>2819</v>
      </c>
    </row>
    <row r="736" spans="1:13" ht="15" x14ac:dyDescent="0.25">
      <c r="A736" t="s">
        <v>715</v>
      </c>
      <c r="B736" t="s">
        <v>11</v>
      </c>
      <c r="C736" t="s">
        <v>12</v>
      </c>
      <c r="D736" t="s">
        <v>24</v>
      </c>
      <c r="E736" t="s">
        <v>54</v>
      </c>
      <c r="F736" t="s">
        <v>420</v>
      </c>
      <c r="G736" t="s">
        <v>716</v>
      </c>
      <c r="H736"/>
      <c r="I736"/>
      <c r="J736"/>
      <c r="K736" t="s">
        <v>4007</v>
      </c>
      <c r="L736">
        <v>15702</v>
      </c>
      <c r="M736" t="s">
        <v>2820</v>
      </c>
    </row>
    <row r="737" spans="1:13" ht="15" x14ac:dyDescent="0.25">
      <c r="A737" t="s">
        <v>523</v>
      </c>
      <c r="B737" t="s">
        <v>11</v>
      </c>
      <c r="C737" t="s">
        <v>12</v>
      </c>
      <c r="D737" t="s">
        <v>24</v>
      </c>
      <c r="E737" t="s">
        <v>25</v>
      </c>
      <c r="F737" t="s">
        <v>489</v>
      </c>
      <c r="G737" t="s">
        <v>500</v>
      </c>
      <c r="H737"/>
      <c r="I737"/>
      <c r="J737"/>
      <c r="K737" t="s">
        <v>4008</v>
      </c>
      <c r="L737">
        <v>5364509</v>
      </c>
      <c r="M737" t="s">
        <v>2821</v>
      </c>
    </row>
    <row r="738" spans="1:13" ht="15" x14ac:dyDescent="0.25">
      <c r="A738" t="s">
        <v>627</v>
      </c>
      <c r="B738" t="s">
        <v>11</v>
      </c>
      <c r="C738" t="s">
        <v>12</v>
      </c>
      <c r="D738" t="s">
        <v>29</v>
      </c>
      <c r="E738" t="s">
        <v>30</v>
      </c>
      <c r="F738" t="s">
        <v>49</v>
      </c>
      <c r="G738" t="s">
        <v>50</v>
      </c>
      <c r="H738"/>
      <c r="I738"/>
      <c r="J738"/>
      <c r="K738" t="s">
        <v>4009</v>
      </c>
      <c r="L738">
        <v>5364713</v>
      </c>
      <c r="M738" t="s">
        <v>2822</v>
      </c>
    </row>
    <row r="739" spans="1:13" ht="15" x14ac:dyDescent="0.25">
      <c r="A739" t="s">
        <v>603</v>
      </c>
      <c r="B739" t="s">
        <v>11</v>
      </c>
      <c r="C739" t="s">
        <v>12</v>
      </c>
      <c r="D739" t="s">
        <v>228</v>
      </c>
      <c r="E739" t="s">
        <v>233</v>
      </c>
      <c r="F739" t="s">
        <v>600</v>
      </c>
      <c r="G739" t="s">
        <v>604</v>
      </c>
      <c r="H739" t="s">
        <v>605</v>
      </c>
      <c r="I739"/>
      <c r="J739"/>
      <c r="K739" t="s">
        <v>4010</v>
      </c>
      <c r="L739">
        <v>519006</v>
      </c>
      <c r="M739" t="s">
        <v>834</v>
      </c>
    </row>
    <row r="740" spans="1:13" ht="15" x14ac:dyDescent="0.25">
      <c r="A740" t="s">
        <v>606</v>
      </c>
      <c r="B740" t="s">
        <v>11</v>
      </c>
      <c r="C740" t="s">
        <v>12</v>
      </c>
      <c r="D740" t="s">
        <v>228</v>
      </c>
      <c r="E740" t="s">
        <v>233</v>
      </c>
      <c r="F740" t="s">
        <v>600</v>
      </c>
      <c r="G740" t="s">
        <v>604</v>
      </c>
      <c r="H740" t="s">
        <v>605</v>
      </c>
      <c r="I740"/>
      <c r="J740"/>
      <c r="K740" t="s">
        <v>4011</v>
      </c>
      <c r="L740">
        <v>30875</v>
      </c>
      <c r="M740" t="s">
        <v>835</v>
      </c>
    </row>
    <row r="741" spans="1:13" ht="15" x14ac:dyDescent="0.25">
      <c r="A741" t="s">
        <v>1378</v>
      </c>
      <c r="B741" t="s">
        <v>11</v>
      </c>
      <c r="C741" t="s">
        <v>12</v>
      </c>
      <c r="D741" t="s">
        <v>29</v>
      </c>
      <c r="E741" t="s">
        <v>30</v>
      </c>
      <c r="F741" t="s">
        <v>31</v>
      </c>
      <c r="G741" t="s">
        <v>90</v>
      </c>
      <c r="H741"/>
      <c r="I741"/>
      <c r="J741"/>
      <c r="K741" t="s">
        <v>4012</v>
      </c>
      <c r="L741">
        <v>543981</v>
      </c>
      <c r="M741" t="s">
        <v>1538</v>
      </c>
    </row>
    <row r="742" spans="1:13" ht="15" x14ac:dyDescent="0.25">
      <c r="A742" t="s">
        <v>546</v>
      </c>
      <c r="B742" t="s">
        <v>11</v>
      </c>
      <c r="C742" t="s">
        <v>12</v>
      </c>
      <c r="D742" t="s">
        <v>29</v>
      </c>
      <c r="E742" t="s">
        <v>30</v>
      </c>
      <c r="F742" t="s">
        <v>31</v>
      </c>
      <c r="G742" t="s">
        <v>90</v>
      </c>
      <c r="H742"/>
      <c r="I742"/>
      <c r="J742"/>
      <c r="K742" t="s">
        <v>4013</v>
      </c>
      <c r="L742">
        <v>543400</v>
      </c>
      <c r="M742" t="s">
        <v>2823</v>
      </c>
    </row>
    <row r="743" spans="1:13" ht="15" x14ac:dyDescent="0.25">
      <c r="A743" t="s">
        <v>2217</v>
      </c>
      <c r="B743" t="s">
        <v>11</v>
      </c>
      <c r="C743" t="s">
        <v>12</v>
      </c>
      <c r="D743" t="s">
        <v>24</v>
      </c>
      <c r="E743" t="s">
        <v>54</v>
      </c>
      <c r="F743" t="s">
        <v>60</v>
      </c>
      <c r="G743" t="s">
        <v>60</v>
      </c>
      <c r="H743"/>
      <c r="I743"/>
      <c r="J743"/>
      <c r="K743" t="s">
        <v>4014</v>
      </c>
      <c r="L743">
        <v>565584</v>
      </c>
      <c r="M743" t="s">
        <v>2824</v>
      </c>
    </row>
    <row r="744" spans="1:13" ht="15" x14ac:dyDescent="0.25">
      <c r="A744" t="s">
        <v>1774</v>
      </c>
      <c r="B744" t="s">
        <v>11</v>
      </c>
      <c r="C744" t="s">
        <v>12</v>
      </c>
      <c r="D744" t="s">
        <v>111</v>
      </c>
      <c r="E744" t="s">
        <v>1775</v>
      </c>
      <c r="F744"/>
      <c r="G744" t="s">
        <v>1775</v>
      </c>
      <c r="H744"/>
      <c r="I744"/>
      <c r="J744"/>
      <c r="K744" t="s">
        <v>4015</v>
      </c>
      <c r="L744">
        <v>5281295</v>
      </c>
      <c r="M744" t="s">
        <v>2068</v>
      </c>
    </row>
    <row r="745" spans="1:13" ht="15" x14ac:dyDescent="0.25">
      <c r="A745" t="s">
        <v>1459</v>
      </c>
      <c r="B745" t="s">
        <v>11</v>
      </c>
      <c r="C745" t="s">
        <v>12</v>
      </c>
      <c r="D745" t="s">
        <v>24</v>
      </c>
      <c r="E745" t="s">
        <v>25</v>
      </c>
      <c r="F745" t="s">
        <v>658</v>
      </c>
      <c r="G745" t="s">
        <v>658</v>
      </c>
      <c r="H745"/>
      <c r="I745"/>
      <c r="J745"/>
      <c r="K745" t="s">
        <v>4016</v>
      </c>
      <c r="L745">
        <v>5363293</v>
      </c>
      <c r="M745" t="s">
        <v>2825</v>
      </c>
    </row>
    <row r="746" spans="1:13" ht="15" x14ac:dyDescent="0.25">
      <c r="A746" t="s">
        <v>1941</v>
      </c>
      <c r="B746" t="s">
        <v>11</v>
      </c>
      <c r="C746" t="s">
        <v>12</v>
      </c>
      <c r="D746" t="s">
        <v>24</v>
      </c>
      <c r="E746" t="s">
        <v>54</v>
      </c>
      <c r="F746" t="s">
        <v>55</v>
      </c>
      <c r="G746" t="s">
        <v>56</v>
      </c>
      <c r="H746"/>
      <c r="I746"/>
      <c r="J746"/>
      <c r="K746" t="s">
        <v>4017</v>
      </c>
      <c r="L746">
        <v>2537</v>
      </c>
      <c r="M746" t="s">
        <v>2123</v>
      </c>
    </row>
    <row r="747" spans="1:13" ht="15" x14ac:dyDescent="0.25">
      <c r="A747" t="s">
        <v>1285</v>
      </c>
      <c r="B747" t="s">
        <v>11</v>
      </c>
      <c r="C747" t="s">
        <v>12</v>
      </c>
      <c r="D747" t="s">
        <v>101</v>
      </c>
      <c r="E747" t="s">
        <v>1286</v>
      </c>
      <c r="F747"/>
      <c r="G747" t="s">
        <v>1286</v>
      </c>
      <c r="H747"/>
      <c r="I747"/>
      <c r="J747"/>
      <c r="K747" t="s">
        <v>4018</v>
      </c>
      <c r="L747">
        <v>549946</v>
      </c>
      <c r="M747" t="s">
        <v>1506</v>
      </c>
    </row>
    <row r="748" spans="1:13" ht="15" x14ac:dyDescent="0.25">
      <c r="A748" t="s">
        <v>183</v>
      </c>
      <c r="B748" t="s">
        <v>11</v>
      </c>
      <c r="C748" t="s">
        <v>12</v>
      </c>
      <c r="D748" t="s">
        <v>36</v>
      </c>
      <c r="E748" t="s">
        <v>44</v>
      </c>
      <c r="F748" t="s">
        <v>137</v>
      </c>
      <c r="G748" t="s">
        <v>137</v>
      </c>
      <c r="H748"/>
      <c r="I748"/>
      <c r="J748"/>
      <c r="K748" t="s">
        <v>4019</v>
      </c>
      <c r="L748">
        <v>7725</v>
      </c>
      <c r="M748" t="s">
        <v>2826</v>
      </c>
    </row>
    <row r="749" spans="1:13" ht="15" x14ac:dyDescent="0.25">
      <c r="A749" t="s">
        <v>1390</v>
      </c>
      <c r="B749" t="s">
        <v>1391</v>
      </c>
      <c r="C749"/>
      <c r="D749"/>
      <c r="E749"/>
      <c r="F749"/>
      <c r="G749"/>
      <c r="H749"/>
      <c r="I749"/>
      <c r="J749"/>
      <c r="K749" t="s">
        <v>4020</v>
      </c>
      <c r="L749">
        <v>520616</v>
      </c>
      <c r="M749" t="s">
        <v>2827</v>
      </c>
    </row>
    <row r="750" spans="1:13" ht="15" x14ac:dyDescent="0.25">
      <c r="A750" t="s">
        <v>693</v>
      </c>
      <c r="B750" t="s">
        <v>11</v>
      </c>
      <c r="C750" t="s">
        <v>12</v>
      </c>
      <c r="D750" t="s">
        <v>228</v>
      </c>
      <c r="E750" t="s">
        <v>233</v>
      </c>
      <c r="F750" t="s">
        <v>234</v>
      </c>
      <c r="G750" t="s">
        <v>234</v>
      </c>
      <c r="H750"/>
      <c r="I750"/>
      <c r="J750"/>
      <c r="K750" t="s">
        <v>4021</v>
      </c>
      <c r="L750">
        <v>17095</v>
      </c>
      <c r="M750" t="s">
        <v>860</v>
      </c>
    </row>
    <row r="751" spans="1:13" ht="15" x14ac:dyDescent="0.25">
      <c r="A751" t="s">
        <v>1498</v>
      </c>
      <c r="B751" t="s">
        <v>11</v>
      </c>
      <c r="C751" t="s">
        <v>12</v>
      </c>
      <c r="D751" t="s">
        <v>111</v>
      </c>
      <c r="E751" t="s">
        <v>304</v>
      </c>
      <c r="F751" t="s">
        <v>447</v>
      </c>
      <c r="G751" t="s">
        <v>447</v>
      </c>
      <c r="H751"/>
      <c r="I751"/>
      <c r="J751"/>
      <c r="K751" t="s">
        <v>4022</v>
      </c>
      <c r="L751">
        <v>641297</v>
      </c>
      <c r="M751" t="s">
        <v>2828</v>
      </c>
    </row>
    <row r="752" spans="1:13" ht="15" x14ac:dyDescent="0.25">
      <c r="A752" t="s">
        <v>1015</v>
      </c>
      <c r="B752" t="s">
        <v>11</v>
      </c>
      <c r="C752" t="s">
        <v>12</v>
      </c>
      <c r="D752" t="s">
        <v>228</v>
      </c>
      <c r="E752" t="s">
        <v>233</v>
      </c>
      <c r="F752" t="s">
        <v>692</v>
      </c>
      <c r="G752" t="s">
        <v>692</v>
      </c>
      <c r="H752"/>
      <c r="I752"/>
      <c r="J752"/>
      <c r="K752" t="s">
        <v>4023</v>
      </c>
      <c r="L752">
        <v>519872</v>
      </c>
      <c r="M752" t="s">
        <v>1135</v>
      </c>
    </row>
    <row r="753" spans="1:13" ht="15" x14ac:dyDescent="0.25">
      <c r="A753" t="s">
        <v>1952</v>
      </c>
      <c r="B753" t="s">
        <v>11</v>
      </c>
      <c r="C753" t="s">
        <v>12</v>
      </c>
      <c r="D753" t="s">
        <v>24</v>
      </c>
      <c r="E753" t="s">
        <v>54</v>
      </c>
      <c r="F753" t="s">
        <v>55</v>
      </c>
      <c r="G753" t="s">
        <v>56</v>
      </c>
      <c r="H753"/>
      <c r="I753"/>
      <c r="J753"/>
      <c r="K753" t="s">
        <v>4024</v>
      </c>
      <c r="L753">
        <v>6427476</v>
      </c>
      <c r="M753" t="s">
        <v>2125</v>
      </c>
    </row>
    <row r="754" spans="1:13" ht="15" x14ac:dyDescent="0.25">
      <c r="A754" t="s">
        <v>211</v>
      </c>
      <c r="B754" t="s">
        <v>11</v>
      </c>
      <c r="C754" t="s">
        <v>12</v>
      </c>
      <c r="D754" t="s">
        <v>24</v>
      </c>
      <c r="E754" t="s">
        <v>54</v>
      </c>
      <c r="F754" t="s">
        <v>55</v>
      </c>
      <c r="G754" t="s">
        <v>184</v>
      </c>
      <c r="H754"/>
      <c r="I754"/>
      <c r="J754"/>
      <c r="K754" t="s">
        <v>4025</v>
      </c>
      <c r="L754">
        <v>98497</v>
      </c>
      <c r="M754" t="s">
        <v>2829</v>
      </c>
    </row>
    <row r="755" spans="1:13" ht="15" x14ac:dyDescent="0.25">
      <c r="A755" t="s">
        <v>615</v>
      </c>
      <c r="B755" t="s">
        <v>11</v>
      </c>
      <c r="C755" t="s">
        <v>12</v>
      </c>
      <c r="D755" t="s">
        <v>228</v>
      </c>
      <c r="E755" t="s">
        <v>229</v>
      </c>
      <c r="F755" t="s">
        <v>230</v>
      </c>
      <c r="G755" t="s">
        <v>231</v>
      </c>
      <c r="H755"/>
      <c r="I755"/>
      <c r="J755"/>
      <c r="K755" t="s">
        <v>4026</v>
      </c>
      <c r="L755">
        <v>15265</v>
      </c>
      <c r="M755" t="s">
        <v>2830</v>
      </c>
    </row>
    <row r="756" spans="1:13" ht="15" x14ac:dyDescent="0.25">
      <c r="A756" t="s">
        <v>1892</v>
      </c>
      <c r="B756" t="s">
        <v>11</v>
      </c>
      <c r="C756" t="s">
        <v>12</v>
      </c>
      <c r="D756" t="s">
        <v>36</v>
      </c>
      <c r="E756" t="s">
        <v>44</v>
      </c>
      <c r="F756" t="s">
        <v>370</v>
      </c>
      <c r="G756" t="s">
        <v>384</v>
      </c>
      <c r="H756" t="s">
        <v>385</v>
      </c>
      <c r="I756" t="s">
        <v>1893</v>
      </c>
      <c r="J756"/>
      <c r="K756" t="s">
        <v>4027</v>
      </c>
      <c r="L756">
        <v>13637</v>
      </c>
      <c r="M756" t="s">
        <v>2831</v>
      </c>
    </row>
    <row r="757" spans="1:13" ht="15" x14ac:dyDescent="0.25">
      <c r="A757" t="s">
        <v>1338</v>
      </c>
      <c r="B757" t="s">
        <v>11</v>
      </c>
      <c r="C757" t="s">
        <v>12</v>
      </c>
      <c r="D757" t="s">
        <v>36</v>
      </c>
      <c r="E757" t="s">
        <v>44</v>
      </c>
      <c r="F757" t="s">
        <v>370</v>
      </c>
      <c r="G757" t="s">
        <v>371</v>
      </c>
      <c r="H757" t="s">
        <v>372</v>
      </c>
      <c r="I757"/>
      <c r="J757"/>
      <c r="K757" t="s">
        <v>4028</v>
      </c>
      <c r="L757">
        <v>68137</v>
      </c>
      <c r="M757" t="s">
        <v>2832</v>
      </c>
    </row>
    <row r="758" spans="1:13" ht="15" x14ac:dyDescent="0.25">
      <c r="A758" t="s">
        <v>113</v>
      </c>
      <c r="B758" t="s">
        <v>11</v>
      </c>
      <c r="C758" t="s">
        <v>12</v>
      </c>
      <c r="D758" t="s">
        <v>29</v>
      </c>
      <c r="E758" t="s">
        <v>30</v>
      </c>
      <c r="F758" t="s">
        <v>105</v>
      </c>
      <c r="G758" t="s">
        <v>114</v>
      </c>
      <c r="H758" t="s">
        <v>115</v>
      </c>
      <c r="I758"/>
      <c r="J758"/>
      <c r="K758" t="s">
        <v>4029</v>
      </c>
      <c r="L758">
        <v>237332</v>
      </c>
      <c r="M758" t="s">
        <v>2833</v>
      </c>
    </row>
    <row r="759" spans="1:13" ht="15" x14ac:dyDescent="0.25">
      <c r="A759" t="s">
        <v>1296</v>
      </c>
      <c r="B759" t="s">
        <v>11</v>
      </c>
      <c r="C759" t="s">
        <v>12</v>
      </c>
      <c r="D759" t="s">
        <v>24</v>
      </c>
      <c r="E759" t="s">
        <v>25</v>
      </c>
      <c r="F759" t="s">
        <v>26</v>
      </c>
      <c r="G759" t="s">
        <v>52</v>
      </c>
      <c r="H759"/>
      <c r="I759"/>
      <c r="J759"/>
      <c r="K759" t="s">
        <v>4030</v>
      </c>
      <c r="L759">
        <v>5364516</v>
      </c>
      <c r="M759" t="s">
        <v>1512</v>
      </c>
    </row>
    <row r="760" spans="1:13" ht="15" x14ac:dyDescent="0.25">
      <c r="A760" t="s">
        <v>673</v>
      </c>
      <c r="B760" t="s">
        <v>11</v>
      </c>
      <c r="C760" t="s">
        <v>12</v>
      </c>
      <c r="D760" t="s">
        <v>101</v>
      </c>
      <c r="E760" t="s">
        <v>674</v>
      </c>
      <c r="F760" t="s">
        <v>675</v>
      </c>
      <c r="G760" t="s">
        <v>676</v>
      </c>
      <c r="H760"/>
      <c r="I760"/>
      <c r="J760"/>
      <c r="K760" t="s">
        <v>4031</v>
      </c>
      <c r="L760">
        <v>119838</v>
      </c>
      <c r="M760" t="s">
        <v>2834</v>
      </c>
    </row>
    <row r="761" spans="1:13" ht="15" x14ac:dyDescent="0.25">
      <c r="A761" t="s">
        <v>2294</v>
      </c>
      <c r="B761" t="s">
        <v>11</v>
      </c>
      <c r="C761" t="s">
        <v>12</v>
      </c>
      <c r="D761" t="s">
        <v>36</v>
      </c>
      <c r="E761" t="s">
        <v>44</v>
      </c>
      <c r="F761"/>
      <c r="G761" t="s">
        <v>44</v>
      </c>
      <c r="H761"/>
      <c r="I761"/>
      <c r="J761"/>
      <c r="K761" t="s">
        <v>4032</v>
      </c>
      <c r="L761">
        <v>610888</v>
      </c>
      <c r="M761" t="s">
        <v>2349</v>
      </c>
    </row>
    <row r="762" spans="1:13" ht="15" x14ac:dyDescent="0.25">
      <c r="A762" t="s">
        <v>1388</v>
      </c>
      <c r="B762" t="s">
        <v>11</v>
      </c>
      <c r="C762" t="s">
        <v>12</v>
      </c>
      <c r="D762" t="s">
        <v>36</v>
      </c>
      <c r="E762" t="s">
        <v>44</v>
      </c>
      <c r="F762" t="s">
        <v>370</v>
      </c>
      <c r="G762" t="s">
        <v>370</v>
      </c>
      <c r="H762"/>
      <c r="I762"/>
      <c r="J762"/>
      <c r="K762" t="s">
        <v>4033</v>
      </c>
      <c r="L762">
        <v>596851</v>
      </c>
      <c r="M762" t="s">
        <v>1541</v>
      </c>
    </row>
    <row r="763" spans="1:13" ht="15" x14ac:dyDescent="0.25">
      <c r="A763" t="s">
        <v>1360</v>
      </c>
      <c r="B763" t="s">
        <v>11</v>
      </c>
      <c r="C763" t="s">
        <v>12</v>
      </c>
      <c r="D763" t="s">
        <v>36</v>
      </c>
      <c r="E763" t="s">
        <v>1004</v>
      </c>
      <c r="F763" t="s">
        <v>1361</v>
      </c>
      <c r="G763" t="s">
        <v>1361</v>
      </c>
      <c r="H763"/>
      <c r="I763"/>
      <c r="J763"/>
      <c r="K763" t="s">
        <v>4034</v>
      </c>
      <c r="L763">
        <v>615328</v>
      </c>
      <c r="M763" t="s">
        <v>1532</v>
      </c>
    </row>
    <row r="764" spans="1:13" ht="15" x14ac:dyDescent="0.25">
      <c r="A764" t="s">
        <v>2295</v>
      </c>
      <c r="B764" t="s">
        <v>11</v>
      </c>
      <c r="C764" t="s">
        <v>12</v>
      </c>
      <c r="D764" t="s">
        <v>36</v>
      </c>
      <c r="E764" t="s">
        <v>2296</v>
      </c>
      <c r="F764"/>
      <c r="G764" t="s">
        <v>2296</v>
      </c>
      <c r="H764"/>
      <c r="I764"/>
      <c r="J764"/>
      <c r="K764" t="s">
        <v>4035</v>
      </c>
      <c r="L764">
        <v>6428586</v>
      </c>
      <c r="M764" t="s">
        <v>2350</v>
      </c>
    </row>
    <row r="765" spans="1:13" ht="15" x14ac:dyDescent="0.25">
      <c r="A765" t="s">
        <v>209</v>
      </c>
      <c r="B765" t="s">
        <v>11</v>
      </c>
      <c r="C765" t="s">
        <v>12</v>
      </c>
      <c r="D765" t="s">
        <v>24</v>
      </c>
      <c r="E765" t="s">
        <v>25</v>
      </c>
      <c r="F765" t="s">
        <v>210</v>
      </c>
      <c r="G765" t="s">
        <v>210</v>
      </c>
      <c r="H765"/>
      <c r="I765"/>
      <c r="J765"/>
      <c r="K765" t="s">
        <v>4036</v>
      </c>
      <c r="L765">
        <v>12533</v>
      </c>
      <c r="M765" t="s">
        <v>739</v>
      </c>
    </row>
    <row r="766" spans="1:13" ht="15" x14ac:dyDescent="0.25">
      <c r="A766" t="s">
        <v>1295</v>
      </c>
      <c r="B766" t="s">
        <v>11</v>
      </c>
      <c r="C766" t="s">
        <v>12</v>
      </c>
      <c r="D766" t="s">
        <v>24</v>
      </c>
      <c r="E766" t="s">
        <v>25</v>
      </c>
      <c r="F766" t="s">
        <v>26</v>
      </c>
      <c r="G766" t="s">
        <v>52</v>
      </c>
      <c r="H766"/>
      <c r="I766"/>
      <c r="J766"/>
      <c r="K766" t="s">
        <v>4037</v>
      </c>
      <c r="L766">
        <v>5364462</v>
      </c>
      <c r="M766" t="s">
        <v>1511</v>
      </c>
    </row>
    <row r="767" spans="1:13" ht="15" x14ac:dyDescent="0.25">
      <c r="A767" t="s">
        <v>660</v>
      </c>
      <c r="B767" t="s">
        <v>11</v>
      </c>
      <c r="C767" t="s">
        <v>12</v>
      </c>
      <c r="D767" t="s">
        <v>24</v>
      </c>
      <c r="E767" t="s">
        <v>25</v>
      </c>
      <c r="F767" t="s">
        <v>658</v>
      </c>
      <c r="G767" t="s">
        <v>658</v>
      </c>
      <c r="H767"/>
      <c r="I767"/>
      <c r="J767"/>
      <c r="K767" t="s">
        <v>4038</v>
      </c>
      <c r="L767">
        <v>5367599</v>
      </c>
      <c r="M767" t="s">
        <v>2835</v>
      </c>
    </row>
    <row r="768" spans="1:13" ht="15" x14ac:dyDescent="0.25">
      <c r="A768" t="s">
        <v>667</v>
      </c>
      <c r="B768" t="s">
        <v>11</v>
      </c>
      <c r="C768" t="s">
        <v>12</v>
      </c>
      <c r="D768" t="s">
        <v>111</v>
      </c>
      <c r="E768" t="s">
        <v>304</v>
      </c>
      <c r="F768" t="s">
        <v>668</v>
      </c>
      <c r="G768" t="s">
        <v>668</v>
      </c>
      <c r="H768"/>
      <c r="I768"/>
      <c r="J768"/>
      <c r="K768" t="s">
        <v>4039</v>
      </c>
      <c r="L768">
        <v>8784</v>
      </c>
      <c r="M768" t="s">
        <v>856</v>
      </c>
    </row>
    <row r="769" spans="1:13" ht="15" x14ac:dyDescent="0.25">
      <c r="A769" t="s">
        <v>1154</v>
      </c>
      <c r="B769" t="s">
        <v>11</v>
      </c>
      <c r="C769" t="s">
        <v>12</v>
      </c>
      <c r="D769" t="s">
        <v>111</v>
      </c>
      <c r="E769" t="s">
        <v>304</v>
      </c>
      <c r="F769" t="s">
        <v>305</v>
      </c>
      <c r="G769" t="s">
        <v>411</v>
      </c>
      <c r="H769" t="s">
        <v>412</v>
      </c>
      <c r="I769"/>
      <c r="J769"/>
      <c r="K769" t="s">
        <v>4040</v>
      </c>
      <c r="L769">
        <v>92203</v>
      </c>
      <c r="M769" t="s">
        <v>1232</v>
      </c>
    </row>
    <row r="770" spans="1:13" ht="15" x14ac:dyDescent="0.25">
      <c r="A770" t="s">
        <v>909</v>
      </c>
      <c r="B770" t="s">
        <v>11</v>
      </c>
      <c r="C770" t="s">
        <v>12</v>
      </c>
      <c r="D770" t="s">
        <v>24</v>
      </c>
      <c r="E770" t="s">
        <v>54</v>
      </c>
      <c r="F770" t="s">
        <v>55</v>
      </c>
      <c r="G770" t="s">
        <v>56</v>
      </c>
      <c r="H770"/>
      <c r="I770"/>
      <c r="J770"/>
      <c r="K770" t="s">
        <v>4041</v>
      </c>
      <c r="L770">
        <v>61126</v>
      </c>
      <c r="M770" t="s">
        <v>1104</v>
      </c>
    </row>
    <row r="771" spans="1:13" ht="15" x14ac:dyDescent="0.25">
      <c r="A771" t="s">
        <v>1001</v>
      </c>
      <c r="B771" t="s">
        <v>11</v>
      </c>
      <c r="C771" t="s">
        <v>12</v>
      </c>
      <c r="D771" t="s">
        <v>228</v>
      </c>
      <c r="E771" t="s">
        <v>233</v>
      </c>
      <c r="F771" t="s">
        <v>234</v>
      </c>
      <c r="G771" t="s">
        <v>234</v>
      </c>
      <c r="H771"/>
      <c r="I771"/>
      <c r="J771"/>
      <c r="K771" t="s">
        <v>4042</v>
      </c>
      <c r="L771">
        <v>23217</v>
      </c>
      <c r="M771" t="s">
        <v>1129</v>
      </c>
    </row>
    <row r="772" spans="1:13" ht="15" x14ac:dyDescent="0.25">
      <c r="A772" t="s">
        <v>2392</v>
      </c>
      <c r="B772" t="s">
        <v>11</v>
      </c>
      <c r="C772" t="s">
        <v>12</v>
      </c>
      <c r="D772" t="s">
        <v>24</v>
      </c>
      <c r="E772" t="s">
        <v>54</v>
      </c>
      <c r="F772" t="s">
        <v>420</v>
      </c>
      <c r="G772" t="s">
        <v>420</v>
      </c>
      <c r="H772"/>
      <c r="I772"/>
      <c r="J772"/>
      <c r="K772" t="s">
        <v>4043</v>
      </c>
      <c r="L772">
        <v>1201531</v>
      </c>
      <c r="M772" t="s">
        <v>2836</v>
      </c>
    </row>
    <row r="773" spans="1:13" ht="15" x14ac:dyDescent="0.25">
      <c r="A773" t="s">
        <v>654</v>
      </c>
      <c r="B773" t="s">
        <v>11</v>
      </c>
      <c r="C773" t="s">
        <v>12</v>
      </c>
      <c r="D773" t="s">
        <v>24</v>
      </c>
      <c r="E773" t="s">
        <v>25</v>
      </c>
      <c r="F773" t="s">
        <v>388</v>
      </c>
      <c r="G773" t="s">
        <v>491</v>
      </c>
      <c r="H773" t="s">
        <v>492</v>
      </c>
      <c r="I773"/>
      <c r="J773"/>
      <c r="K773" t="s">
        <v>4044</v>
      </c>
      <c r="L773">
        <v>6656</v>
      </c>
      <c r="M773" t="s">
        <v>852</v>
      </c>
    </row>
    <row r="774" spans="1:13" ht="15" x14ac:dyDescent="0.25">
      <c r="A774" t="s">
        <v>1886</v>
      </c>
      <c r="B774" t="s">
        <v>11</v>
      </c>
      <c r="C774" t="s">
        <v>12</v>
      </c>
      <c r="D774" t="s">
        <v>36</v>
      </c>
      <c r="E774" t="s">
        <v>44</v>
      </c>
      <c r="F774" t="s">
        <v>323</v>
      </c>
      <c r="G774" t="s">
        <v>323</v>
      </c>
      <c r="H774"/>
      <c r="I774"/>
      <c r="J774"/>
      <c r="K774" t="s">
        <v>4045</v>
      </c>
      <c r="L774">
        <v>5370650</v>
      </c>
      <c r="M774" t="s">
        <v>2837</v>
      </c>
    </row>
    <row r="775" spans="1:13" ht="15" x14ac:dyDescent="0.25">
      <c r="A775" t="s">
        <v>496</v>
      </c>
      <c r="B775" t="s">
        <v>11</v>
      </c>
      <c r="C775" t="s">
        <v>12</v>
      </c>
      <c r="D775" t="s">
        <v>24</v>
      </c>
      <c r="E775" t="s">
        <v>25</v>
      </c>
      <c r="F775" t="s">
        <v>489</v>
      </c>
      <c r="G775" t="s">
        <v>489</v>
      </c>
      <c r="H775"/>
      <c r="I775"/>
      <c r="J775"/>
      <c r="K775" t="s">
        <v>4046</v>
      </c>
      <c r="L775">
        <v>8048</v>
      </c>
      <c r="M775" t="s">
        <v>2838</v>
      </c>
    </row>
    <row r="776" spans="1:13" ht="15" x14ac:dyDescent="0.25">
      <c r="A776" t="s">
        <v>1310</v>
      </c>
      <c r="B776" t="s">
        <v>11</v>
      </c>
      <c r="C776" t="s">
        <v>12</v>
      </c>
      <c r="D776" t="s">
        <v>24</v>
      </c>
      <c r="E776" t="s">
        <v>25</v>
      </c>
      <c r="F776" t="s">
        <v>489</v>
      </c>
      <c r="G776" t="s">
        <v>489</v>
      </c>
      <c r="H776"/>
      <c r="I776"/>
      <c r="J776"/>
      <c r="K776" t="s">
        <v>4047</v>
      </c>
      <c r="L776">
        <v>42257</v>
      </c>
      <c r="M776" t="s">
        <v>2839</v>
      </c>
    </row>
    <row r="777" spans="1:13" ht="15" x14ac:dyDescent="0.25">
      <c r="A777" t="s">
        <v>501</v>
      </c>
      <c r="B777" t="s">
        <v>11</v>
      </c>
      <c r="C777" t="s">
        <v>12</v>
      </c>
      <c r="D777" t="s">
        <v>24</v>
      </c>
      <c r="E777" t="s">
        <v>25</v>
      </c>
      <c r="F777" t="s">
        <v>26</v>
      </c>
      <c r="G777" t="s">
        <v>26</v>
      </c>
      <c r="H777"/>
      <c r="I777"/>
      <c r="J777"/>
      <c r="K777" t="s">
        <v>4048</v>
      </c>
      <c r="L777">
        <v>550113</v>
      </c>
      <c r="M777" t="s">
        <v>804</v>
      </c>
    </row>
    <row r="778" spans="1:13" ht="15" x14ac:dyDescent="0.25">
      <c r="A778" t="s">
        <v>550</v>
      </c>
      <c r="B778" t="s">
        <v>11</v>
      </c>
      <c r="C778" t="s">
        <v>12</v>
      </c>
      <c r="D778" t="s">
        <v>24</v>
      </c>
      <c r="E778" t="s">
        <v>25</v>
      </c>
      <c r="F778" t="s">
        <v>388</v>
      </c>
      <c r="G778" t="s">
        <v>491</v>
      </c>
      <c r="H778" t="s">
        <v>492</v>
      </c>
      <c r="I778"/>
      <c r="J778"/>
      <c r="K778" t="s">
        <v>4049</v>
      </c>
      <c r="L778">
        <v>643915</v>
      </c>
      <c r="M778" t="s">
        <v>2840</v>
      </c>
    </row>
    <row r="779" spans="1:13" ht="15" x14ac:dyDescent="0.25">
      <c r="A779" t="s">
        <v>1190</v>
      </c>
      <c r="B779" t="s">
        <v>11</v>
      </c>
      <c r="C779" t="s">
        <v>12</v>
      </c>
      <c r="D779" t="s">
        <v>13</v>
      </c>
      <c r="E779" t="s">
        <v>14</v>
      </c>
      <c r="F779" t="s">
        <v>380</v>
      </c>
      <c r="G779" t="s">
        <v>380</v>
      </c>
      <c r="H779"/>
      <c r="I779"/>
      <c r="J779"/>
      <c r="K779" t="s">
        <v>4050</v>
      </c>
      <c r="L779">
        <v>5362708</v>
      </c>
      <c r="M779" t="s">
        <v>2841</v>
      </c>
    </row>
    <row r="780" spans="1:13" ht="15" x14ac:dyDescent="0.25">
      <c r="A780" t="s">
        <v>891</v>
      </c>
      <c r="B780" t="s">
        <v>11</v>
      </c>
      <c r="C780" t="s">
        <v>12</v>
      </c>
      <c r="D780" t="s">
        <v>24</v>
      </c>
      <c r="E780" t="s">
        <v>54</v>
      </c>
      <c r="F780" t="s">
        <v>55</v>
      </c>
      <c r="G780" t="s">
        <v>187</v>
      </c>
      <c r="H780"/>
      <c r="I780"/>
      <c r="J780"/>
      <c r="K780" t="s">
        <v>4051</v>
      </c>
      <c r="L780">
        <v>7463</v>
      </c>
      <c r="M780" t="s">
        <v>1099</v>
      </c>
    </row>
    <row r="781" spans="1:13" ht="15" x14ac:dyDescent="0.25">
      <c r="A781" t="s">
        <v>935</v>
      </c>
      <c r="B781" t="s">
        <v>11</v>
      </c>
      <c r="C781" t="s">
        <v>12</v>
      </c>
      <c r="D781" t="s">
        <v>24</v>
      </c>
      <c r="E781" t="s">
        <v>54</v>
      </c>
      <c r="F781" t="s">
        <v>60</v>
      </c>
      <c r="G781" t="s">
        <v>913</v>
      </c>
      <c r="H781"/>
      <c r="I781"/>
      <c r="J781"/>
      <c r="K781" t="s">
        <v>4052</v>
      </c>
      <c r="L781">
        <v>9855795</v>
      </c>
      <c r="M781" t="s">
        <v>1108</v>
      </c>
    </row>
    <row r="782" spans="1:13" ht="15" x14ac:dyDescent="0.25">
      <c r="A782" t="s">
        <v>1213</v>
      </c>
      <c r="B782" t="s">
        <v>11</v>
      </c>
      <c r="C782" t="s">
        <v>12</v>
      </c>
      <c r="D782" t="s">
        <v>29</v>
      </c>
      <c r="E782" t="s">
        <v>30</v>
      </c>
      <c r="F782" t="s">
        <v>105</v>
      </c>
      <c r="G782" t="s">
        <v>158</v>
      </c>
      <c r="H782" t="s">
        <v>622</v>
      </c>
      <c r="I782"/>
      <c r="J782"/>
      <c r="K782" t="s">
        <v>4053</v>
      </c>
      <c r="L782">
        <v>535094</v>
      </c>
      <c r="M782" t="s">
        <v>2842</v>
      </c>
    </row>
    <row r="783" spans="1:13" ht="15" x14ac:dyDescent="0.25">
      <c r="A783" t="s">
        <v>705</v>
      </c>
      <c r="B783" t="s">
        <v>11</v>
      </c>
      <c r="C783" t="s">
        <v>12</v>
      </c>
      <c r="D783" t="s">
        <v>36</v>
      </c>
      <c r="E783" t="s">
        <v>44</v>
      </c>
      <c r="F783"/>
      <c r="G783" t="s">
        <v>44</v>
      </c>
      <c r="H783"/>
      <c r="I783"/>
      <c r="J783"/>
      <c r="K783" t="s">
        <v>4054</v>
      </c>
      <c r="L783">
        <v>6908</v>
      </c>
      <c r="M783" t="s">
        <v>2843</v>
      </c>
    </row>
    <row r="784" spans="1:13" ht="15" x14ac:dyDescent="0.25">
      <c r="A784" t="s">
        <v>2180</v>
      </c>
      <c r="B784" t="s">
        <v>11</v>
      </c>
      <c r="C784" t="s">
        <v>12</v>
      </c>
      <c r="D784" t="s">
        <v>24</v>
      </c>
      <c r="E784" t="s">
        <v>54</v>
      </c>
      <c r="F784" t="s">
        <v>55</v>
      </c>
      <c r="G784" t="s">
        <v>56</v>
      </c>
      <c r="H784"/>
      <c r="I784"/>
      <c r="J784"/>
      <c r="K784" t="s">
        <v>4055</v>
      </c>
      <c r="L784">
        <v>10582</v>
      </c>
      <c r="M784" t="s">
        <v>2315</v>
      </c>
    </row>
    <row r="785" spans="1:13" ht="15" x14ac:dyDescent="0.25">
      <c r="A785" t="s">
        <v>1355</v>
      </c>
      <c r="B785" t="s">
        <v>11</v>
      </c>
      <c r="C785" t="s">
        <v>12</v>
      </c>
      <c r="D785" t="s">
        <v>36</v>
      </c>
      <c r="E785" t="s">
        <v>44</v>
      </c>
      <c r="F785" t="s">
        <v>370</v>
      </c>
      <c r="G785" t="s">
        <v>370</v>
      </c>
      <c r="H785"/>
      <c r="I785"/>
      <c r="J785"/>
      <c r="K785" t="s">
        <v>4056</v>
      </c>
      <c r="L785">
        <v>135439385</v>
      </c>
      <c r="M785" t="s">
        <v>2844</v>
      </c>
    </row>
    <row r="786" spans="1:13" ht="15" x14ac:dyDescent="0.25">
      <c r="A786" t="s">
        <v>624</v>
      </c>
      <c r="B786" t="s">
        <v>11</v>
      </c>
      <c r="C786" t="s">
        <v>12</v>
      </c>
      <c r="D786" t="s">
        <v>24</v>
      </c>
      <c r="E786" t="s">
        <v>25</v>
      </c>
      <c r="F786" t="s">
        <v>26</v>
      </c>
      <c r="G786" t="s">
        <v>26</v>
      </c>
      <c r="H786"/>
      <c r="I786"/>
      <c r="J786"/>
      <c r="K786" t="s">
        <v>4057</v>
      </c>
      <c r="L786">
        <v>5364942</v>
      </c>
      <c r="M786" t="s">
        <v>2845</v>
      </c>
    </row>
    <row r="787" spans="1:13" ht="15" x14ac:dyDescent="0.25">
      <c r="A787" t="s">
        <v>503</v>
      </c>
      <c r="B787" t="s">
        <v>11</v>
      </c>
      <c r="C787" t="s">
        <v>12</v>
      </c>
      <c r="D787" t="s">
        <v>24</v>
      </c>
      <c r="E787" t="s">
        <v>25</v>
      </c>
      <c r="F787" t="s">
        <v>504</v>
      </c>
      <c r="G787" t="s">
        <v>504</v>
      </c>
      <c r="H787"/>
      <c r="I787"/>
      <c r="J787"/>
      <c r="K787" t="s">
        <v>4058</v>
      </c>
      <c r="L787">
        <v>5282184</v>
      </c>
      <c r="M787" t="s">
        <v>2846</v>
      </c>
    </row>
    <row r="788" spans="1:13" ht="15" x14ac:dyDescent="0.25">
      <c r="A788" t="s">
        <v>1970</v>
      </c>
      <c r="B788" t="s">
        <v>11</v>
      </c>
      <c r="C788" t="s">
        <v>12</v>
      </c>
      <c r="D788" t="s">
        <v>101</v>
      </c>
      <c r="E788" t="s">
        <v>118</v>
      </c>
      <c r="F788"/>
      <c r="G788" t="s">
        <v>118</v>
      </c>
      <c r="H788"/>
      <c r="I788"/>
      <c r="J788"/>
      <c r="K788" t="s">
        <v>4059</v>
      </c>
      <c r="L788">
        <v>2758</v>
      </c>
      <c r="M788" t="s">
        <v>2129</v>
      </c>
    </row>
    <row r="789" spans="1:13" ht="15" x14ac:dyDescent="0.25">
      <c r="A789" t="s">
        <v>1319</v>
      </c>
      <c r="B789" t="s">
        <v>11</v>
      </c>
      <c r="C789" t="s">
        <v>12</v>
      </c>
      <c r="D789" t="s">
        <v>24</v>
      </c>
      <c r="E789" t="s">
        <v>54</v>
      </c>
      <c r="F789" t="s">
        <v>60</v>
      </c>
      <c r="G789" t="s">
        <v>933</v>
      </c>
      <c r="H789" t="s">
        <v>934</v>
      </c>
      <c r="I789"/>
      <c r="J789"/>
      <c r="K789" t="s">
        <v>4060</v>
      </c>
      <c r="L789">
        <v>534398</v>
      </c>
      <c r="M789" t="s">
        <v>1523</v>
      </c>
    </row>
    <row r="790" spans="1:13" ht="15" x14ac:dyDescent="0.25">
      <c r="A790" t="s">
        <v>1405</v>
      </c>
      <c r="B790" t="s">
        <v>11</v>
      </c>
      <c r="C790" t="s">
        <v>12</v>
      </c>
      <c r="D790" t="s">
        <v>24</v>
      </c>
      <c r="E790" t="s">
        <v>54</v>
      </c>
      <c r="F790" t="s">
        <v>420</v>
      </c>
      <c r="G790" t="s">
        <v>716</v>
      </c>
      <c r="H790"/>
      <c r="I790"/>
      <c r="J790"/>
      <c r="K790" t="s">
        <v>4061</v>
      </c>
      <c r="L790">
        <v>5363523</v>
      </c>
      <c r="M790" t="s">
        <v>1549</v>
      </c>
    </row>
    <row r="791" spans="1:13" ht="15" x14ac:dyDescent="0.25">
      <c r="A791" t="s">
        <v>2393</v>
      </c>
      <c r="B791" t="s">
        <v>11</v>
      </c>
      <c r="C791" t="s">
        <v>12</v>
      </c>
      <c r="D791" t="s">
        <v>24</v>
      </c>
      <c r="E791" t="s">
        <v>54</v>
      </c>
      <c r="F791" t="s">
        <v>420</v>
      </c>
      <c r="G791" t="s">
        <v>716</v>
      </c>
      <c r="H791"/>
      <c r="I791"/>
      <c r="J791"/>
      <c r="K791" t="s">
        <v>4062</v>
      </c>
      <c r="L791">
        <v>24721276</v>
      </c>
      <c r="M791" t="s">
        <v>1549</v>
      </c>
    </row>
    <row r="792" spans="1:13" ht="15" x14ac:dyDescent="0.25">
      <c r="A792" t="s">
        <v>2394</v>
      </c>
      <c r="B792" t="s">
        <v>11</v>
      </c>
      <c r="C792" t="s">
        <v>12</v>
      </c>
      <c r="D792" t="s">
        <v>24</v>
      </c>
      <c r="E792" t="s">
        <v>54</v>
      </c>
      <c r="F792" t="s">
        <v>420</v>
      </c>
      <c r="G792" t="s">
        <v>716</v>
      </c>
      <c r="H792"/>
      <c r="I792"/>
      <c r="J792"/>
      <c r="K792" t="s">
        <v>4063</v>
      </c>
      <c r="L792">
        <v>168264754</v>
      </c>
      <c r="M792" t="s">
        <v>1549</v>
      </c>
    </row>
    <row r="793" spans="1:13" ht="15" x14ac:dyDescent="0.25">
      <c r="A793" t="s">
        <v>1981</v>
      </c>
      <c r="B793" t="s">
        <v>11</v>
      </c>
      <c r="C793" t="s">
        <v>12</v>
      </c>
      <c r="D793" t="s">
        <v>24</v>
      </c>
      <c r="E793" t="s">
        <v>54</v>
      </c>
      <c r="F793" t="s">
        <v>420</v>
      </c>
      <c r="G793" t="s">
        <v>716</v>
      </c>
      <c r="H793"/>
      <c r="I793"/>
      <c r="J793"/>
      <c r="K793" t="s">
        <v>4064</v>
      </c>
      <c r="L793">
        <v>12444348</v>
      </c>
      <c r="M793" t="s">
        <v>1549</v>
      </c>
    </row>
    <row r="794" spans="1:13" ht="15" x14ac:dyDescent="0.25">
      <c r="A794" t="s">
        <v>545</v>
      </c>
      <c r="B794" t="s">
        <v>11</v>
      </c>
      <c r="C794" t="s">
        <v>12</v>
      </c>
      <c r="D794" t="s">
        <v>228</v>
      </c>
      <c r="E794" t="s">
        <v>229</v>
      </c>
      <c r="F794" t="s">
        <v>544</v>
      </c>
      <c r="G794" t="s">
        <v>544</v>
      </c>
      <c r="H794"/>
      <c r="I794"/>
      <c r="J794"/>
      <c r="K794" t="s">
        <v>4065</v>
      </c>
      <c r="L794">
        <v>9268</v>
      </c>
      <c r="M794" t="s">
        <v>815</v>
      </c>
    </row>
    <row r="795" spans="1:13" ht="15" x14ac:dyDescent="0.25">
      <c r="A795" t="s">
        <v>2395</v>
      </c>
      <c r="B795" t="s">
        <v>11</v>
      </c>
      <c r="C795" t="s">
        <v>12</v>
      </c>
      <c r="D795" t="s">
        <v>36</v>
      </c>
      <c r="E795" t="s">
        <v>44</v>
      </c>
      <c r="F795" t="s">
        <v>699</v>
      </c>
      <c r="G795" t="s">
        <v>699</v>
      </c>
      <c r="H795"/>
      <c r="I795"/>
      <c r="J795"/>
      <c r="K795" t="s">
        <v>4066</v>
      </c>
      <c r="L795">
        <v>521435</v>
      </c>
      <c r="M795" t="s">
        <v>2847</v>
      </c>
    </row>
    <row r="796" spans="1:13" ht="15" x14ac:dyDescent="0.25">
      <c r="A796" t="s">
        <v>2396</v>
      </c>
      <c r="B796" t="s">
        <v>11</v>
      </c>
      <c r="C796" t="s">
        <v>12</v>
      </c>
      <c r="D796" t="s">
        <v>36</v>
      </c>
      <c r="E796" t="s">
        <v>44</v>
      </c>
      <c r="F796" t="s">
        <v>2470</v>
      </c>
      <c r="G796" t="s">
        <v>2470</v>
      </c>
      <c r="H796"/>
      <c r="I796"/>
      <c r="J796"/>
      <c r="K796" t="s">
        <v>4067</v>
      </c>
      <c r="L796">
        <v>92743</v>
      </c>
      <c r="M796" t="s">
        <v>2848</v>
      </c>
    </row>
    <row r="797" spans="1:13" ht="15" x14ac:dyDescent="0.25">
      <c r="A797" t="s">
        <v>2397</v>
      </c>
      <c r="B797" t="s">
        <v>11</v>
      </c>
      <c r="C797" t="s">
        <v>12</v>
      </c>
      <c r="D797" t="s">
        <v>24</v>
      </c>
      <c r="E797" t="s">
        <v>25</v>
      </c>
      <c r="F797" t="s">
        <v>2471</v>
      </c>
      <c r="G797" t="s">
        <v>2479</v>
      </c>
      <c r="H797"/>
      <c r="I797"/>
      <c r="J797"/>
      <c r="K797" t="s">
        <v>4068</v>
      </c>
      <c r="L797">
        <v>68764</v>
      </c>
      <c r="M797" t="s">
        <v>2849</v>
      </c>
    </row>
    <row r="798" spans="1:13" ht="15" x14ac:dyDescent="0.25">
      <c r="A798" t="s">
        <v>2398</v>
      </c>
      <c r="B798" t="s">
        <v>11</v>
      </c>
      <c r="C798" t="s">
        <v>12</v>
      </c>
      <c r="D798" t="s">
        <v>111</v>
      </c>
      <c r="E798" t="s">
        <v>304</v>
      </c>
      <c r="F798" t="s">
        <v>305</v>
      </c>
      <c r="G798" t="s">
        <v>305</v>
      </c>
      <c r="H798"/>
      <c r="I798"/>
      <c r="J798"/>
      <c r="K798" s="20" t="s">
        <v>4069</v>
      </c>
      <c r="L798">
        <v>129728050</v>
      </c>
      <c r="M798" t="s">
        <v>2850</v>
      </c>
    </row>
    <row r="799" spans="1:13" ht="15" x14ac:dyDescent="0.25">
      <c r="A799" t="s">
        <v>2399</v>
      </c>
      <c r="B799" t="s">
        <v>11</v>
      </c>
      <c r="C799" t="s">
        <v>12</v>
      </c>
      <c r="D799" t="s">
        <v>111</v>
      </c>
      <c r="E799" t="s">
        <v>120</v>
      </c>
      <c r="F799" t="s">
        <v>1592</v>
      </c>
      <c r="G799" t="s">
        <v>1606</v>
      </c>
      <c r="H799"/>
      <c r="I799"/>
      <c r="J799"/>
      <c r="K799" t="s">
        <v>4070</v>
      </c>
      <c r="L799">
        <v>96539</v>
      </c>
      <c r="M799" t="s">
        <v>2851</v>
      </c>
    </row>
    <row r="800" spans="1:13" ht="15" x14ac:dyDescent="0.25">
      <c r="A800" t="s">
        <v>2400</v>
      </c>
      <c r="B800" t="s">
        <v>11</v>
      </c>
      <c r="C800" t="s">
        <v>12</v>
      </c>
      <c r="D800" t="s">
        <v>101</v>
      </c>
      <c r="E800" t="s">
        <v>674</v>
      </c>
      <c r="F800" t="s">
        <v>675</v>
      </c>
      <c r="G800" t="s">
        <v>675</v>
      </c>
      <c r="H800"/>
      <c r="I800"/>
      <c r="J800"/>
      <c r="K800" t="s">
        <v>4071</v>
      </c>
      <c r="L800">
        <v>87339061</v>
      </c>
      <c r="M800" t="s">
        <v>2852</v>
      </c>
    </row>
    <row r="801" spans="1:13" ht="15" x14ac:dyDescent="0.25">
      <c r="A801" t="s">
        <v>2401</v>
      </c>
      <c r="B801" t="s">
        <v>11</v>
      </c>
      <c r="C801" t="s">
        <v>12</v>
      </c>
      <c r="D801" t="s">
        <v>111</v>
      </c>
      <c r="E801" t="s">
        <v>1024</v>
      </c>
      <c r="F801" t="s">
        <v>1025</v>
      </c>
      <c r="G801" t="s">
        <v>1028</v>
      </c>
      <c r="H801"/>
      <c r="I801"/>
      <c r="J801"/>
      <c r="K801" t="s">
        <v>4072</v>
      </c>
      <c r="L801">
        <v>235736</v>
      </c>
      <c r="M801" t="s">
        <v>2853</v>
      </c>
    </row>
    <row r="802" spans="1:13" ht="15" x14ac:dyDescent="0.25">
      <c r="A802" t="s">
        <v>2402</v>
      </c>
      <c r="B802" t="s">
        <v>11</v>
      </c>
      <c r="C802" t="s">
        <v>12</v>
      </c>
      <c r="D802" t="s">
        <v>111</v>
      </c>
      <c r="E802" t="s">
        <v>120</v>
      </c>
      <c r="F802" t="s">
        <v>308</v>
      </c>
      <c r="G802" t="s">
        <v>309</v>
      </c>
      <c r="H802" t="s">
        <v>1614</v>
      </c>
      <c r="I802"/>
      <c r="J802"/>
      <c r="K802" t="s">
        <v>4073</v>
      </c>
      <c r="L802">
        <v>5318083</v>
      </c>
      <c r="M802" t="s">
        <v>2854</v>
      </c>
    </row>
    <row r="803" spans="1:13" ht="15" x14ac:dyDescent="0.25">
      <c r="A803" t="s">
        <v>2403</v>
      </c>
      <c r="B803" t="s">
        <v>11</v>
      </c>
      <c r="C803" t="s">
        <v>12</v>
      </c>
      <c r="D803" t="s">
        <v>111</v>
      </c>
      <c r="E803" t="s">
        <v>304</v>
      </c>
      <c r="F803"/>
      <c r="G803" t="s">
        <v>304</v>
      </c>
      <c r="H803"/>
      <c r="I803"/>
      <c r="J803"/>
      <c r="K803" t="s">
        <v>4074</v>
      </c>
      <c r="L803">
        <v>99768966</v>
      </c>
      <c r="M803" t="s">
        <v>2855</v>
      </c>
    </row>
    <row r="804" spans="1:13" ht="15" x14ac:dyDescent="0.25">
      <c r="A804" t="s">
        <v>2404</v>
      </c>
      <c r="B804" t="s">
        <v>1391</v>
      </c>
      <c r="C804"/>
      <c r="D804"/>
      <c r="E804"/>
      <c r="F804"/>
      <c r="G804"/>
      <c r="H804"/>
      <c r="I804"/>
      <c r="J804"/>
      <c r="K804" t="s">
        <v>4075</v>
      </c>
      <c r="L804">
        <v>11327217</v>
      </c>
      <c r="M804" t="s">
        <v>2856</v>
      </c>
    </row>
    <row r="805" spans="1:13" ht="15" x14ac:dyDescent="0.25">
      <c r="A805" t="s">
        <v>2405</v>
      </c>
      <c r="B805" t="s">
        <v>11</v>
      </c>
      <c r="C805" t="s">
        <v>12</v>
      </c>
      <c r="D805" t="s">
        <v>111</v>
      </c>
      <c r="E805" t="s">
        <v>1457</v>
      </c>
      <c r="F805"/>
      <c r="G805" t="s">
        <v>1457</v>
      </c>
      <c r="H805"/>
      <c r="I805"/>
      <c r="J805"/>
      <c r="K805" t="s">
        <v>4076</v>
      </c>
      <c r="L805">
        <v>14150346</v>
      </c>
      <c r="M805" t="s">
        <v>2857</v>
      </c>
    </row>
    <row r="806" spans="1:13" ht="15" x14ac:dyDescent="0.25">
      <c r="A806" t="s">
        <v>2406</v>
      </c>
      <c r="B806" t="s">
        <v>11</v>
      </c>
      <c r="C806" t="s">
        <v>12</v>
      </c>
      <c r="D806" t="s">
        <v>111</v>
      </c>
      <c r="E806" t="s">
        <v>1024</v>
      </c>
      <c r="F806" t="s">
        <v>1025</v>
      </c>
      <c r="G806" t="s">
        <v>2480</v>
      </c>
      <c r="H806"/>
      <c r="I806"/>
      <c r="J806"/>
      <c r="K806" t="s">
        <v>4077</v>
      </c>
      <c r="L806">
        <v>148598</v>
      </c>
      <c r="M806" t="s">
        <v>2858</v>
      </c>
    </row>
    <row r="807" spans="1:13" ht="15" x14ac:dyDescent="0.25">
      <c r="A807" t="s">
        <v>2407</v>
      </c>
      <c r="B807" t="s">
        <v>11</v>
      </c>
      <c r="C807" t="s">
        <v>12</v>
      </c>
      <c r="D807" t="s">
        <v>36</v>
      </c>
      <c r="E807" t="s">
        <v>37</v>
      </c>
      <c r="F807" t="s">
        <v>426</v>
      </c>
      <c r="G807" t="s">
        <v>426</v>
      </c>
      <c r="H807"/>
      <c r="I807"/>
      <c r="J807"/>
      <c r="K807" t="s">
        <v>4078</v>
      </c>
      <c r="L807">
        <v>137796430</v>
      </c>
      <c r="M807" t="s">
        <v>2859</v>
      </c>
    </row>
    <row r="808" spans="1:13" ht="15" x14ac:dyDescent="0.25">
      <c r="A808" t="s">
        <v>2408</v>
      </c>
      <c r="B808" t="s">
        <v>11</v>
      </c>
      <c r="C808" t="s">
        <v>12</v>
      </c>
      <c r="D808" t="s">
        <v>111</v>
      </c>
      <c r="E808" t="s">
        <v>1457</v>
      </c>
      <c r="F808"/>
      <c r="G808" t="s">
        <v>1457</v>
      </c>
      <c r="H808"/>
      <c r="I808"/>
      <c r="J808"/>
      <c r="K808" t="s">
        <v>4079</v>
      </c>
      <c r="L808">
        <v>20807398</v>
      </c>
      <c r="M808" t="s">
        <v>2860</v>
      </c>
    </row>
    <row r="809" spans="1:13" ht="15" x14ac:dyDescent="0.25">
      <c r="A809" t="s">
        <v>2409</v>
      </c>
      <c r="B809" t="s">
        <v>11</v>
      </c>
      <c r="C809" t="s">
        <v>12</v>
      </c>
      <c r="D809" t="s">
        <v>24</v>
      </c>
      <c r="E809" t="s">
        <v>54</v>
      </c>
      <c r="F809" t="s">
        <v>60</v>
      </c>
      <c r="G809" t="s">
        <v>60</v>
      </c>
      <c r="H809"/>
      <c r="I809"/>
      <c r="J809"/>
      <c r="K809" t="s">
        <v>4080</v>
      </c>
      <c r="L809">
        <v>6429162</v>
      </c>
      <c r="M809" t="s">
        <v>2861</v>
      </c>
    </row>
    <row r="810" spans="1:13" ht="15" x14ac:dyDescent="0.25">
      <c r="A810" t="s">
        <v>125</v>
      </c>
      <c r="B810" t="s">
        <v>11</v>
      </c>
      <c r="C810" t="s">
        <v>12</v>
      </c>
      <c r="D810" t="s">
        <v>111</v>
      </c>
      <c r="E810" t="s">
        <v>120</v>
      </c>
      <c r="F810" t="s">
        <v>121</v>
      </c>
      <c r="G810" t="s">
        <v>122</v>
      </c>
      <c r="H810" t="s">
        <v>123</v>
      </c>
      <c r="I810"/>
      <c r="J810"/>
      <c r="K810" t="s">
        <v>4081</v>
      </c>
      <c r="L810">
        <v>439533</v>
      </c>
      <c r="M810" t="s">
        <v>2862</v>
      </c>
    </row>
    <row r="811" spans="1:13" ht="15" x14ac:dyDescent="0.25">
      <c r="A811" t="s">
        <v>1441</v>
      </c>
      <c r="B811" t="s">
        <v>11</v>
      </c>
      <c r="C811" t="s">
        <v>12</v>
      </c>
      <c r="D811" t="s">
        <v>111</v>
      </c>
      <c r="E811" t="s">
        <v>167</v>
      </c>
      <c r="F811" t="s">
        <v>1163</v>
      </c>
      <c r="G811" t="s">
        <v>1442</v>
      </c>
      <c r="H811"/>
      <c r="I811"/>
      <c r="J811"/>
      <c r="K811" t="s">
        <v>4082</v>
      </c>
      <c r="L811">
        <v>5273569</v>
      </c>
      <c r="M811" t="s">
        <v>2863</v>
      </c>
    </row>
    <row r="812" spans="1:13" ht="15" x14ac:dyDescent="0.25">
      <c r="A812" t="s">
        <v>2410</v>
      </c>
      <c r="B812" t="s">
        <v>11</v>
      </c>
      <c r="C812" t="s">
        <v>12</v>
      </c>
      <c r="D812" t="s">
        <v>24</v>
      </c>
      <c r="E812" t="s">
        <v>25</v>
      </c>
      <c r="F812" t="s">
        <v>2471</v>
      </c>
      <c r="G812" t="s">
        <v>2481</v>
      </c>
      <c r="H812"/>
      <c r="I812"/>
      <c r="J812"/>
      <c r="K812" t="s">
        <v>4083</v>
      </c>
      <c r="L812">
        <v>656507</v>
      </c>
      <c r="M812" t="s">
        <v>2864</v>
      </c>
    </row>
    <row r="813" spans="1:13" ht="15" x14ac:dyDescent="0.25">
      <c r="A813" t="s">
        <v>1734</v>
      </c>
      <c r="B813" t="s">
        <v>11</v>
      </c>
      <c r="C813" t="s">
        <v>12</v>
      </c>
      <c r="D813" t="s">
        <v>36</v>
      </c>
      <c r="E813" t="s">
        <v>44</v>
      </c>
      <c r="F813" t="s">
        <v>370</v>
      </c>
      <c r="G813" t="s">
        <v>384</v>
      </c>
      <c r="H813" t="s">
        <v>1583</v>
      </c>
      <c r="I813"/>
      <c r="J813"/>
      <c r="K813" t="s">
        <v>4084</v>
      </c>
      <c r="L813">
        <v>8357</v>
      </c>
      <c r="M813" t="s">
        <v>2865</v>
      </c>
    </row>
    <row r="814" spans="1:13" ht="15" x14ac:dyDescent="0.25">
      <c r="A814" t="s">
        <v>1612</v>
      </c>
      <c r="B814" t="s">
        <v>11</v>
      </c>
      <c r="C814" t="s">
        <v>12</v>
      </c>
      <c r="D814" t="s">
        <v>111</v>
      </c>
      <c r="E814" t="s">
        <v>120</v>
      </c>
      <c r="F814" t="s">
        <v>121</v>
      </c>
      <c r="G814" t="s">
        <v>122</v>
      </c>
      <c r="H814"/>
      <c r="I814"/>
      <c r="J814"/>
      <c r="K814" t="s">
        <v>4085</v>
      </c>
      <c r="L814">
        <v>440735</v>
      </c>
      <c r="M814" t="s">
        <v>2010</v>
      </c>
    </row>
    <row r="815" spans="1:13" ht="15" x14ac:dyDescent="0.25">
      <c r="A815" t="s">
        <v>2279</v>
      </c>
      <c r="B815" t="s">
        <v>11</v>
      </c>
      <c r="C815" t="s">
        <v>12</v>
      </c>
      <c r="D815" t="s">
        <v>24</v>
      </c>
      <c r="E815" t="s">
        <v>54</v>
      </c>
      <c r="F815" t="s">
        <v>986</v>
      </c>
      <c r="G815" t="s">
        <v>986</v>
      </c>
      <c r="H815"/>
      <c r="I815"/>
      <c r="J815"/>
      <c r="K815" t="s">
        <v>4086</v>
      </c>
      <c r="L815">
        <v>64945</v>
      </c>
      <c r="M815" t="s">
        <v>2345</v>
      </c>
    </row>
    <row r="816" spans="1:13" ht="15" x14ac:dyDescent="0.25">
      <c r="A816" t="s">
        <v>1871</v>
      </c>
      <c r="B816" t="s">
        <v>11</v>
      </c>
      <c r="C816" t="s">
        <v>12</v>
      </c>
      <c r="D816" t="s">
        <v>111</v>
      </c>
      <c r="E816" t="s">
        <v>120</v>
      </c>
      <c r="F816" t="s">
        <v>308</v>
      </c>
      <c r="G816" t="s">
        <v>348</v>
      </c>
      <c r="H816" t="s">
        <v>349</v>
      </c>
      <c r="I816"/>
      <c r="J816"/>
      <c r="K816" t="s">
        <v>4087</v>
      </c>
      <c r="L816">
        <v>5280441</v>
      </c>
      <c r="M816" t="s">
        <v>2102</v>
      </c>
    </row>
    <row r="817" spans="1:13" ht="15" x14ac:dyDescent="0.25">
      <c r="A817" t="s">
        <v>290</v>
      </c>
      <c r="B817" t="s">
        <v>11</v>
      </c>
      <c r="C817" t="s">
        <v>12</v>
      </c>
      <c r="D817" t="s">
        <v>13</v>
      </c>
      <c r="E817" t="s">
        <v>14</v>
      </c>
      <c r="F817" t="s">
        <v>255</v>
      </c>
      <c r="G817" t="s">
        <v>256</v>
      </c>
      <c r="H817" t="s">
        <v>257</v>
      </c>
      <c r="I817" t="s">
        <v>274</v>
      </c>
      <c r="J817" t="s">
        <v>275</v>
      </c>
      <c r="K817" t="s">
        <v>4088</v>
      </c>
      <c r="L817">
        <v>6322</v>
      </c>
      <c r="M817" t="s">
        <v>758</v>
      </c>
    </row>
    <row r="818" spans="1:13" ht="15" x14ac:dyDescent="0.25">
      <c r="A818" t="s">
        <v>2411</v>
      </c>
      <c r="B818" t="s">
        <v>11</v>
      </c>
      <c r="C818" t="s">
        <v>12</v>
      </c>
      <c r="D818" t="s">
        <v>13</v>
      </c>
      <c r="E818" t="s">
        <v>14</v>
      </c>
      <c r="F818" t="s">
        <v>255</v>
      </c>
      <c r="G818" t="s">
        <v>256</v>
      </c>
      <c r="H818" t="s">
        <v>257</v>
      </c>
      <c r="I818" t="s">
        <v>271</v>
      </c>
      <c r="J818"/>
      <c r="K818" t="s">
        <v>4089</v>
      </c>
      <c r="L818">
        <v>614</v>
      </c>
      <c r="M818" t="s">
        <v>761</v>
      </c>
    </row>
    <row r="819" spans="1:13" ht="15" x14ac:dyDescent="0.25">
      <c r="A819" t="s">
        <v>2412</v>
      </c>
      <c r="B819" t="s">
        <v>11</v>
      </c>
      <c r="C819" t="s">
        <v>12</v>
      </c>
      <c r="D819" t="s">
        <v>13</v>
      </c>
      <c r="E819" t="s">
        <v>14</v>
      </c>
      <c r="F819" t="s">
        <v>255</v>
      </c>
      <c r="G819" t="s">
        <v>256</v>
      </c>
      <c r="H819" t="s">
        <v>257</v>
      </c>
      <c r="I819" t="s">
        <v>271</v>
      </c>
      <c r="J819"/>
      <c r="K819" t="s">
        <v>4090</v>
      </c>
      <c r="L819">
        <v>8988</v>
      </c>
      <c r="M819" t="s">
        <v>761</v>
      </c>
    </row>
    <row r="820" spans="1:13" ht="15" x14ac:dyDescent="0.25">
      <c r="A820" t="s">
        <v>289</v>
      </c>
      <c r="B820" t="s">
        <v>11</v>
      </c>
      <c r="C820" t="s">
        <v>12</v>
      </c>
      <c r="D820" t="s">
        <v>13</v>
      </c>
      <c r="E820" t="s">
        <v>14</v>
      </c>
      <c r="F820" t="s">
        <v>255</v>
      </c>
      <c r="G820" t="s">
        <v>256</v>
      </c>
      <c r="H820" t="s">
        <v>257</v>
      </c>
      <c r="I820" t="s">
        <v>274</v>
      </c>
      <c r="J820" t="s">
        <v>275</v>
      </c>
      <c r="K820" t="s">
        <v>4091</v>
      </c>
      <c r="L820">
        <v>5962</v>
      </c>
      <c r="M820" t="s">
        <v>757</v>
      </c>
    </row>
    <row r="821" spans="1:13" ht="15" x14ac:dyDescent="0.25">
      <c r="A821" t="s">
        <v>278</v>
      </c>
      <c r="B821" t="s">
        <v>11</v>
      </c>
      <c r="C821" t="s">
        <v>12</v>
      </c>
      <c r="D821" t="s">
        <v>13</v>
      </c>
      <c r="E821" t="s">
        <v>14</v>
      </c>
      <c r="F821" t="s">
        <v>255</v>
      </c>
      <c r="G821" t="s">
        <v>256</v>
      </c>
      <c r="H821" t="s">
        <v>257</v>
      </c>
      <c r="I821" t="s">
        <v>279</v>
      </c>
      <c r="J821"/>
      <c r="K821" t="s">
        <v>4092</v>
      </c>
      <c r="L821">
        <v>33032</v>
      </c>
      <c r="M821" t="s">
        <v>753</v>
      </c>
    </row>
    <row r="822" spans="1:13" ht="15" x14ac:dyDescent="0.25">
      <c r="A822" t="s">
        <v>264</v>
      </c>
      <c r="B822" t="s">
        <v>11</v>
      </c>
      <c r="C822" t="s">
        <v>12</v>
      </c>
      <c r="D822" t="s">
        <v>13</v>
      </c>
      <c r="E822" t="s">
        <v>14</v>
      </c>
      <c r="F822" t="s">
        <v>255</v>
      </c>
      <c r="G822" t="s">
        <v>256</v>
      </c>
      <c r="H822" t="s">
        <v>257</v>
      </c>
      <c r="I822" t="s">
        <v>265</v>
      </c>
      <c r="J822"/>
      <c r="K822" t="s">
        <v>4093</v>
      </c>
      <c r="L822">
        <v>6140</v>
      </c>
      <c r="M822" t="s">
        <v>749</v>
      </c>
    </row>
    <row r="823" spans="1:13" ht="15" x14ac:dyDescent="0.25">
      <c r="A823" t="s">
        <v>2413</v>
      </c>
      <c r="B823" t="s">
        <v>11</v>
      </c>
      <c r="C823" t="s">
        <v>12</v>
      </c>
      <c r="D823" t="s">
        <v>13</v>
      </c>
      <c r="E823" t="s">
        <v>14</v>
      </c>
      <c r="F823" t="s">
        <v>255</v>
      </c>
      <c r="G823" t="s">
        <v>256</v>
      </c>
      <c r="H823" t="s">
        <v>257</v>
      </c>
      <c r="I823" t="s">
        <v>2482</v>
      </c>
      <c r="J823"/>
      <c r="K823" t="s">
        <v>4094</v>
      </c>
      <c r="L823">
        <v>5960</v>
      </c>
      <c r="M823" t="s">
        <v>2866</v>
      </c>
    </row>
    <row r="824" spans="1:13" ht="15" x14ac:dyDescent="0.25">
      <c r="A824" t="s">
        <v>284</v>
      </c>
      <c r="B824" t="s">
        <v>11</v>
      </c>
      <c r="C824" t="s">
        <v>12</v>
      </c>
      <c r="D824" t="s">
        <v>13</v>
      </c>
      <c r="E824" t="s">
        <v>14</v>
      </c>
      <c r="F824" t="s">
        <v>255</v>
      </c>
      <c r="G824" t="s">
        <v>256</v>
      </c>
      <c r="H824" t="s">
        <v>257</v>
      </c>
      <c r="I824" t="s">
        <v>285</v>
      </c>
      <c r="J824"/>
      <c r="K824" t="s">
        <v>4095</v>
      </c>
      <c r="L824">
        <v>6106</v>
      </c>
      <c r="M824" t="s">
        <v>755</v>
      </c>
    </row>
    <row r="825" spans="1:13" ht="15" x14ac:dyDescent="0.25">
      <c r="A825" t="s">
        <v>286</v>
      </c>
      <c r="B825" t="s">
        <v>11</v>
      </c>
      <c r="C825" t="s">
        <v>12</v>
      </c>
      <c r="D825" t="s">
        <v>13</v>
      </c>
      <c r="E825" t="s">
        <v>14</v>
      </c>
      <c r="F825" t="s">
        <v>255</v>
      </c>
      <c r="G825" t="s">
        <v>256</v>
      </c>
      <c r="H825" t="s">
        <v>257</v>
      </c>
      <c r="I825" t="s">
        <v>272</v>
      </c>
      <c r="J825"/>
      <c r="K825" t="s">
        <v>4096</v>
      </c>
      <c r="L825">
        <v>5950</v>
      </c>
      <c r="M825" t="s">
        <v>756</v>
      </c>
    </row>
    <row r="826" spans="1:13" ht="15" x14ac:dyDescent="0.25">
      <c r="A826" t="s">
        <v>2414</v>
      </c>
      <c r="B826" t="s">
        <v>11</v>
      </c>
      <c r="C826" t="s">
        <v>12</v>
      </c>
      <c r="D826" t="s">
        <v>13</v>
      </c>
      <c r="E826" t="s">
        <v>14</v>
      </c>
      <c r="F826" t="s">
        <v>255</v>
      </c>
      <c r="G826" t="s">
        <v>256</v>
      </c>
      <c r="H826" t="s">
        <v>257</v>
      </c>
      <c r="I826" t="s">
        <v>272</v>
      </c>
      <c r="J826"/>
      <c r="K826" t="s">
        <v>4097</v>
      </c>
      <c r="L826">
        <v>449619</v>
      </c>
      <c r="M826" t="s">
        <v>756</v>
      </c>
    </row>
    <row r="827" spans="1:13" ht="15" x14ac:dyDescent="0.25">
      <c r="A827" t="s">
        <v>2415</v>
      </c>
      <c r="B827" t="s">
        <v>11</v>
      </c>
      <c r="C827" t="s">
        <v>12</v>
      </c>
      <c r="D827" t="s">
        <v>13</v>
      </c>
      <c r="E827" t="s">
        <v>14</v>
      </c>
      <c r="F827" t="s">
        <v>255</v>
      </c>
      <c r="G827" t="s">
        <v>256</v>
      </c>
      <c r="H827" t="s">
        <v>257</v>
      </c>
      <c r="I827" t="s">
        <v>274</v>
      </c>
      <c r="J827"/>
      <c r="K827" t="s">
        <v>4098</v>
      </c>
      <c r="L827">
        <v>155817681</v>
      </c>
      <c r="M827" t="s">
        <v>756</v>
      </c>
    </row>
    <row r="828" spans="1:13" ht="15" x14ac:dyDescent="0.25">
      <c r="A828" t="s">
        <v>270</v>
      </c>
      <c r="B828" t="s">
        <v>11</v>
      </c>
      <c r="C828" t="s">
        <v>12</v>
      </c>
      <c r="D828" t="s">
        <v>13</v>
      </c>
      <c r="E828" t="s">
        <v>14</v>
      </c>
      <c r="F828" t="s">
        <v>255</v>
      </c>
      <c r="G828" t="s">
        <v>256</v>
      </c>
      <c r="H828" t="s">
        <v>257</v>
      </c>
      <c r="I828" t="s">
        <v>271</v>
      </c>
      <c r="J828"/>
      <c r="K828" t="s">
        <v>4099</v>
      </c>
      <c r="L828">
        <v>5810</v>
      </c>
      <c r="M828" t="s">
        <v>752</v>
      </c>
    </row>
    <row r="829" spans="1:13" ht="15" x14ac:dyDescent="0.25">
      <c r="A829" t="s">
        <v>259</v>
      </c>
      <c r="B829" t="s">
        <v>11</v>
      </c>
      <c r="C829" t="s">
        <v>12</v>
      </c>
      <c r="D829" t="s">
        <v>13</v>
      </c>
      <c r="E829" t="s">
        <v>14</v>
      </c>
      <c r="F829" t="s">
        <v>255</v>
      </c>
      <c r="G829" t="s">
        <v>256</v>
      </c>
      <c r="H829" t="s">
        <v>257</v>
      </c>
      <c r="I829" t="s">
        <v>260</v>
      </c>
      <c r="J829"/>
      <c r="K829" t="s">
        <v>4100</v>
      </c>
      <c r="L829">
        <v>6287</v>
      </c>
      <c r="M829" t="s">
        <v>747</v>
      </c>
    </row>
    <row r="830" spans="1:13" ht="15" x14ac:dyDescent="0.25">
      <c r="A830" t="s">
        <v>292</v>
      </c>
      <c r="B830" t="s">
        <v>11</v>
      </c>
      <c r="C830" t="s">
        <v>12</v>
      </c>
      <c r="D830" t="s">
        <v>13</v>
      </c>
      <c r="E830" t="s">
        <v>14</v>
      </c>
      <c r="F830" t="s">
        <v>255</v>
      </c>
      <c r="G830" t="s">
        <v>256</v>
      </c>
      <c r="H830" t="s">
        <v>257</v>
      </c>
      <c r="I830" t="s">
        <v>274</v>
      </c>
      <c r="J830"/>
      <c r="K830" t="s">
        <v>4101</v>
      </c>
      <c r="L830">
        <v>750</v>
      </c>
      <c r="M830" t="s">
        <v>759</v>
      </c>
    </row>
    <row r="831" spans="1:13" ht="15" x14ac:dyDescent="0.25">
      <c r="A831" t="s">
        <v>254</v>
      </c>
      <c r="B831" t="s">
        <v>11</v>
      </c>
      <c r="C831" t="s">
        <v>12</v>
      </c>
      <c r="D831" t="s">
        <v>13</v>
      </c>
      <c r="E831" t="s">
        <v>14</v>
      </c>
      <c r="F831" t="s">
        <v>255</v>
      </c>
      <c r="G831" t="s">
        <v>256</v>
      </c>
      <c r="H831" t="s">
        <v>257</v>
      </c>
      <c r="I831" t="s">
        <v>258</v>
      </c>
      <c r="J831"/>
      <c r="K831" t="s">
        <v>4102</v>
      </c>
      <c r="L831">
        <v>6306</v>
      </c>
      <c r="M831" t="s">
        <v>2867</v>
      </c>
    </row>
    <row r="832" spans="1:13" ht="15" x14ac:dyDescent="0.25">
      <c r="A832" t="s">
        <v>300</v>
      </c>
      <c r="B832" t="s">
        <v>11</v>
      </c>
      <c r="C832" t="s">
        <v>12</v>
      </c>
      <c r="D832" t="s">
        <v>13</v>
      </c>
      <c r="E832" t="s">
        <v>14</v>
      </c>
      <c r="F832" t="s">
        <v>255</v>
      </c>
      <c r="G832" t="s">
        <v>256</v>
      </c>
      <c r="H832" t="s">
        <v>257</v>
      </c>
      <c r="I832" t="s">
        <v>296</v>
      </c>
      <c r="J832"/>
      <c r="K832" t="s">
        <v>4103</v>
      </c>
      <c r="L832">
        <v>6137</v>
      </c>
      <c r="M832" t="s">
        <v>2868</v>
      </c>
    </row>
    <row r="833" spans="1:13" ht="15" x14ac:dyDescent="0.25">
      <c r="A833" t="s">
        <v>295</v>
      </c>
      <c r="B833" t="s">
        <v>11</v>
      </c>
      <c r="C833" t="s">
        <v>12</v>
      </c>
      <c r="D833" t="s">
        <v>13</v>
      </c>
      <c r="E833" t="s">
        <v>14</v>
      </c>
      <c r="F833" t="s">
        <v>255</v>
      </c>
      <c r="G833" t="s">
        <v>256</v>
      </c>
      <c r="H833" t="s">
        <v>257</v>
      </c>
      <c r="I833" t="s">
        <v>296</v>
      </c>
      <c r="J833"/>
      <c r="K833" t="s">
        <v>4104</v>
      </c>
      <c r="L833">
        <v>876</v>
      </c>
      <c r="M833" t="s">
        <v>2868</v>
      </c>
    </row>
    <row r="834" spans="1:13" ht="15" x14ac:dyDescent="0.25">
      <c r="A834" t="s">
        <v>297</v>
      </c>
      <c r="B834" t="s">
        <v>11</v>
      </c>
      <c r="C834" t="s">
        <v>12</v>
      </c>
      <c r="D834" t="s">
        <v>13</v>
      </c>
      <c r="E834" t="s">
        <v>14</v>
      </c>
      <c r="F834" t="s">
        <v>255</v>
      </c>
      <c r="G834" t="s">
        <v>256</v>
      </c>
      <c r="H834" t="s">
        <v>257</v>
      </c>
      <c r="I834" t="s">
        <v>296</v>
      </c>
      <c r="J834"/>
      <c r="K834" t="s">
        <v>4105</v>
      </c>
      <c r="L834">
        <v>84815</v>
      </c>
      <c r="M834" t="s">
        <v>2868</v>
      </c>
    </row>
    <row r="835" spans="1:13" ht="15" x14ac:dyDescent="0.25">
      <c r="A835" t="s">
        <v>266</v>
      </c>
      <c r="B835" t="s">
        <v>11</v>
      </c>
      <c r="C835" t="s">
        <v>12</v>
      </c>
      <c r="D835" t="s">
        <v>13</v>
      </c>
      <c r="E835" t="s">
        <v>14</v>
      </c>
      <c r="F835" t="s">
        <v>255</v>
      </c>
      <c r="G835" t="s">
        <v>256</v>
      </c>
      <c r="H835" t="s">
        <v>257</v>
      </c>
      <c r="I835" t="s">
        <v>267</v>
      </c>
      <c r="J835"/>
      <c r="K835" t="s">
        <v>4106</v>
      </c>
      <c r="L835">
        <v>6057</v>
      </c>
      <c r="M835" t="s">
        <v>750</v>
      </c>
    </row>
    <row r="836" spans="1:13" ht="15" x14ac:dyDescent="0.25">
      <c r="A836" t="s">
        <v>291</v>
      </c>
      <c r="B836" t="s">
        <v>11</v>
      </c>
      <c r="C836" t="s">
        <v>12</v>
      </c>
      <c r="D836" t="s">
        <v>13</v>
      </c>
      <c r="E836" t="s">
        <v>14</v>
      </c>
      <c r="F836" t="s">
        <v>255</v>
      </c>
      <c r="G836" t="s">
        <v>256</v>
      </c>
      <c r="H836" t="s">
        <v>257</v>
      </c>
      <c r="I836" t="s">
        <v>274</v>
      </c>
      <c r="J836" t="s">
        <v>275</v>
      </c>
      <c r="K836" t="s">
        <v>4107</v>
      </c>
      <c r="L836">
        <v>6262</v>
      </c>
      <c r="M836" t="s">
        <v>2869</v>
      </c>
    </row>
    <row r="837" spans="1:13" ht="15" x14ac:dyDescent="0.25">
      <c r="A837" t="s">
        <v>268</v>
      </c>
      <c r="B837" t="s">
        <v>11</v>
      </c>
      <c r="C837" t="s">
        <v>12</v>
      </c>
      <c r="D837" t="s">
        <v>13</v>
      </c>
      <c r="E837" t="s">
        <v>14</v>
      </c>
      <c r="F837" t="s">
        <v>255</v>
      </c>
      <c r="G837" t="s">
        <v>256</v>
      </c>
      <c r="H837" t="s">
        <v>257</v>
      </c>
      <c r="I837" t="s">
        <v>269</v>
      </c>
      <c r="J837"/>
      <c r="K837" t="s">
        <v>4108</v>
      </c>
      <c r="L837">
        <v>6274</v>
      </c>
      <c r="M837" t="s">
        <v>751</v>
      </c>
    </row>
    <row r="838" spans="1:13" ht="15" x14ac:dyDescent="0.25">
      <c r="A838" t="s">
        <v>301</v>
      </c>
      <c r="B838" t="s">
        <v>11</v>
      </c>
      <c r="C838" t="s">
        <v>12</v>
      </c>
      <c r="D838" t="s">
        <v>13</v>
      </c>
      <c r="E838" t="s">
        <v>14</v>
      </c>
      <c r="F838" t="s">
        <v>255</v>
      </c>
      <c r="G838" t="s">
        <v>256</v>
      </c>
      <c r="H838" t="s">
        <v>257</v>
      </c>
      <c r="I838" t="s">
        <v>274</v>
      </c>
      <c r="J838"/>
      <c r="K838" t="s">
        <v>4109</v>
      </c>
      <c r="L838">
        <v>1088</v>
      </c>
      <c r="M838" t="s">
        <v>760</v>
      </c>
    </row>
    <row r="839" spans="1:13" ht="15" x14ac:dyDescent="0.25">
      <c r="A839" t="s">
        <v>2416</v>
      </c>
      <c r="B839" t="s">
        <v>11</v>
      </c>
      <c r="C839" t="s">
        <v>12</v>
      </c>
      <c r="D839" t="s">
        <v>13</v>
      </c>
      <c r="E839" t="s">
        <v>14</v>
      </c>
      <c r="F839" t="s">
        <v>255</v>
      </c>
      <c r="G839" t="s">
        <v>256</v>
      </c>
      <c r="H839" t="s">
        <v>257</v>
      </c>
      <c r="I839" t="s">
        <v>2483</v>
      </c>
      <c r="J839"/>
      <c r="K839" t="s">
        <v>4110</v>
      </c>
      <c r="L839">
        <v>5951</v>
      </c>
      <c r="M839" t="s">
        <v>2870</v>
      </c>
    </row>
    <row r="840" spans="1:13" ht="15" x14ac:dyDescent="0.25">
      <c r="A840" t="s">
        <v>282</v>
      </c>
      <c r="B840" t="s">
        <v>11</v>
      </c>
      <c r="C840" t="s">
        <v>12</v>
      </c>
      <c r="D840" t="s">
        <v>13</v>
      </c>
      <c r="E840" t="s">
        <v>14</v>
      </c>
      <c r="F840" t="s">
        <v>255</v>
      </c>
      <c r="G840" t="s">
        <v>256</v>
      </c>
      <c r="H840" t="s">
        <v>257</v>
      </c>
      <c r="I840" t="s">
        <v>281</v>
      </c>
      <c r="J840" t="s">
        <v>283</v>
      </c>
      <c r="K840" t="s">
        <v>4111</v>
      </c>
      <c r="L840">
        <v>67678</v>
      </c>
      <c r="M840" t="s">
        <v>754</v>
      </c>
    </row>
    <row r="841" spans="1:13" ht="15" x14ac:dyDescent="0.25">
      <c r="A841" t="s">
        <v>280</v>
      </c>
      <c r="B841" t="s">
        <v>11</v>
      </c>
      <c r="C841" t="s">
        <v>12</v>
      </c>
      <c r="D841" t="s">
        <v>13</v>
      </c>
      <c r="E841" t="s">
        <v>14</v>
      </c>
      <c r="F841" t="s">
        <v>255</v>
      </c>
      <c r="G841" t="s">
        <v>256</v>
      </c>
      <c r="H841" t="s">
        <v>257</v>
      </c>
      <c r="I841" t="s">
        <v>281</v>
      </c>
      <c r="J841"/>
      <c r="K841" t="s">
        <v>4112</v>
      </c>
      <c r="L841">
        <v>595</v>
      </c>
      <c r="M841" t="s">
        <v>754</v>
      </c>
    </row>
    <row r="842" spans="1:13" ht="15" x14ac:dyDescent="0.25">
      <c r="A842" t="s">
        <v>1936</v>
      </c>
      <c r="B842" t="s">
        <v>11</v>
      </c>
      <c r="C842" t="s">
        <v>12</v>
      </c>
      <c r="D842" t="s">
        <v>13</v>
      </c>
      <c r="E842" t="s">
        <v>14</v>
      </c>
      <c r="F842" t="s">
        <v>255</v>
      </c>
      <c r="G842" t="s">
        <v>256</v>
      </c>
      <c r="H842" t="s">
        <v>257</v>
      </c>
      <c r="I842" t="s">
        <v>281</v>
      </c>
      <c r="J842"/>
      <c r="K842" t="s">
        <v>4113</v>
      </c>
      <c r="L842">
        <v>3036261</v>
      </c>
      <c r="M842" t="s">
        <v>754</v>
      </c>
    </row>
    <row r="843" spans="1:13" ht="15" x14ac:dyDescent="0.25">
      <c r="A843" t="s">
        <v>294</v>
      </c>
      <c r="B843" t="s">
        <v>11</v>
      </c>
      <c r="C843" t="s">
        <v>12</v>
      </c>
      <c r="D843" t="s">
        <v>13</v>
      </c>
      <c r="E843" t="s">
        <v>14</v>
      </c>
      <c r="F843" t="s">
        <v>255</v>
      </c>
      <c r="G843" t="s">
        <v>256</v>
      </c>
      <c r="H843" t="s">
        <v>257</v>
      </c>
      <c r="I843" t="s">
        <v>281</v>
      </c>
      <c r="J843"/>
      <c r="K843" t="s">
        <v>4114</v>
      </c>
      <c r="L843">
        <v>6991966</v>
      </c>
      <c r="M843" t="s">
        <v>754</v>
      </c>
    </row>
    <row r="844" spans="1:13" ht="15" x14ac:dyDescent="0.25">
      <c r="A844" t="s">
        <v>293</v>
      </c>
      <c r="B844" t="s">
        <v>11</v>
      </c>
      <c r="C844" t="s">
        <v>12</v>
      </c>
      <c r="D844" t="s">
        <v>13</v>
      </c>
      <c r="E844" t="s">
        <v>14</v>
      </c>
      <c r="F844" t="s">
        <v>255</v>
      </c>
      <c r="G844" t="s">
        <v>256</v>
      </c>
      <c r="H844" t="s">
        <v>257</v>
      </c>
      <c r="I844" t="s">
        <v>281</v>
      </c>
      <c r="J844"/>
      <c r="K844" t="s">
        <v>4115</v>
      </c>
      <c r="L844">
        <v>6857538</v>
      </c>
      <c r="M844" t="s">
        <v>754</v>
      </c>
    </row>
    <row r="845" spans="1:13" ht="15" x14ac:dyDescent="0.25">
      <c r="A845" t="s">
        <v>273</v>
      </c>
      <c r="B845" t="s">
        <v>11</v>
      </c>
      <c r="C845" t="s">
        <v>12</v>
      </c>
      <c r="D845" t="s">
        <v>13</v>
      </c>
      <c r="E845" t="s">
        <v>14</v>
      </c>
      <c r="F845" t="s">
        <v>255</v>
      </c>
      <c r="G845" t="s">
        <v>256</v>
      </c>
      <c r="H845" t="s">
        <v>257</v>
      </c>
      <c r="I845" t="s">
        <v>274</v>
      </c>
      <c r="J845" t="s">
        <v>275</v>
      </c>
      <c r="K845" t="s">
        <v>4116</v>
      </c>
      <c r="L845">
        <v>6288</v>
      </c>
      <c r="M845" t="s">
        <v>2871</v>
      </c>
    </row>
    <row r="846" spans="1:13" ht="15" x14ac:dyDescent="0.25">
      <c r="A846" t="s">
        <v>287</v>
      </c>
      <c r="B846" t="s">
        <v>11</v>
      </c>
      <c r="C846" t="s">
        <v>12</v>
      </c>
      <c r="D846" t="s">
        <v>13</v>
      </c>
      <c r="E846" t="s">
        <v>14</v>
      </c>
      <c r="F846" t="s">
        <v>255</v>
      </c>
      <c r="G846" t="s">
        <v>256</v>
      </c>
      <c r="H846" t="s">
        <v>288</v>
      </c>
      <c r="I846"/>
      <c r="J846"/>
      <c r="K846" t="s">
        <v>4117</v>
      </c>
      <c r="L846">
        <v>239</v>
      </c>
      <c r="M846" t="s">
        <v>2872</v>
      </c>
    </row>
    <row r="847" spans="1:13" ht="15" x14ac:dyDescent="0.25">
      <c r="A847" t="s">
        <v>261</v>
      </c>
      <c r="B847" t="s">
        <v>11</v>
      </c>
      <c r="C847" t="s">
        <v>12</v>
      </c>
      <c r="D847" t="s">
        <v>101</v>
      </c>
      <c r="E847" t="s">
        <v>262</v>
      </c>
      <c r="F847" t="s">
        <v>263</v>
      </c>
      <c r="G847" t="s">
        <v>263</v>
      </c>
      <c r="H847"/>
      <c r="I847"/>
      <c r="J847"/>
      <c r="K847" t="s">
        <v>4118</v>
      </c>
      <c r="L847">
        <v>6305</v>
      </c>
      <c r="M847" t="s">
        <v>748</v>
      </c>
    </row>
    <row r="848" spans="1:13" ht="15" x14ac:dyDescent="0.25">
      <c r="A848" t="s">
        <v>1680</v>
      </c>
      <c r="B848" t="s">
        <v>11</v>
      </c>
      <c r="C848" t="s">
        <v>12</v>
      </c>
      <c r="D848" t="s">
        <v>111</v>
      </c>
      <c r="E848" t="s">
        <v>120</v>
      </c>
      <c r="F848" t="s">
        <v>1592</v>
      </c>
      <c r="G848" t="s">
        <v>1598</v>
      </c>
      <c r="H848"/>
      <c r="I848"/>
      <c r="J848"/>
      <c r="K848" t="s">
        <v>4119</v>
      </c>
      <c r="L848">
        <v>5317747</v>
      </c>
      <c r="M848" t="s">
        <v>2873</v>
      </c>
    </row>
    <row r="849" spans="1:13" ht="15" x14ac:dyDescent="0.25">
      <c r="A849" t="s">
        <v>1628</v>
      </c>
      <c r="B849" t="s">
        <v>11</v>
      </c>
      <c r="C849" t="s">
        <v>12</v>
      </c>
      <c r="D849" t="s">
        <v>111</v>
      </c>
      <c r="E849" t="s">
        <v>120</v>
      </c>
      <c r="F849" t="s">
        <v>1226</v>
      </c>
      <c r="G849" t="s">
        <v>1227</v>
      </c>
      <c r="H849"/>
      <c r="I849"/>
      <c r="J849"/>
      <c r="K849" t="s">
        <v>4120</v>
      </c>
      <c r="L849">
        <v>5488105</v>
      </c>
      <c r="M849" t="s">
        <v>2874</v>
      </c>
    </row>
    <row r="850" spans="1:13" ht="15" x14ac:dyDescent="0.25">
      <c r="A850" t="s">
        <v>590</v>
      </c>
      <c r="B850" t="s">
        <v>11</v>
      </c>
      <c r="C850" t="s">
        <v>12</v>
      </c>
      <c r="D850" t="s">
        <v>24</v>
      </c>
      <c r="E850" t="s">
        <v>25</v>
      </c>
      <c r="F850" t="s">
        <v>388</v>
      </c>
      <c r="G850" t="s">
        <v>513</v>
      </c>
      <c r="H850"/>
      <c r="I850"/>
      <c r="J850"/>
      <c r="K850" t="s">
        <v>4121</v>
      </c>
      <c r="L850">
        <v>2266</v>
      </c>
      <c r="M850" t="s">
        <v>831</v>
      </c>
    </row>
    <row r="851" spans="1:13" ht="15" x14ac:dyDescent="0.25">
      <c r="A851" t="s">
        <v>1773</v>
      </c>
      <c r="B851" t="s">
        <v>11</v>
      </c>
      <c r="C851" t="s">
        <v>12</v>
      </c>
      <c r="D851" t="s">
        <v>36</v>
      </c>
      <c r="E851" t="s">
        <v>44</v>
      </c>
      <c r="F851" t="s">
        <v>370</v>
      </c>
      <c r="G851" t="s">
        <v>384</v>
      </c>
      <c r="H851" t="s">
        <v>1583</v>
      </c>
      <c r="I851"/>
      <c r="J851"/>
      <c r="K851" t="s">
        <v>4122</v>
      </c>
      <c r="L851">
        <v>70164</v>
      </c>
      <c r="M851" t="s">
        <v>2875</v>
      </c>
    </row>
    <row r="852" spans="1:13" ht="15" x14ac:dyDescent="0.25">
      <c r="A852" t="s">
        <v>162</v>
      </c>
      <c r="B852" t="s">
        <v>11</v>
      </c>
      <c r="C852" t="s">
        <v>12</v>
      </c>
      <c r="D852" t="s">
        <v>29</v>
      </c>
      <c r="E852" t="s">
        <v>30</v>
      </c>
      <c r="F852" t="s">
        <v>105</v>
      </c>
      <c r="G852" t="s">
        <v>114</v>
      </c>
      <c r="H852" t="s">
        <v>152</v>
      </c>
      <c r="I852"/>
      <c r="J852"/>
      <c r="K852" t="s">
        <v>4123</v>
      </c>
      <c r="L852">
        <v>6184</v>
      </c>
      <c r="M852" t="s">
        <v>2876</v>
      </c>
    </row>
    <row r="853" spans="1:13" ht="15" x14ac:dyDescent="0.25">
      <c r="A853" t="s">
        <v>164</v>
      </c>
      <c r="B853" t="s">
        <v>11</v>
      </c>
      <c r="C853" t="s">
        <v>12</v>
      </c>
      <c r="D853" t="s">
        <v>29</v>
      </c>
      <c r="E853" t="s">
        <v>30</v>
      </c>
      <c r="F853" t="s">
        <v>105</v>
      </c>
      <c r="G853" t="s">
        <v>114</v>
      </c>
      <c r="H853" t="s">
        <v>152</v>
      </c>
      <c r="I853"/>
      <c r="J853"/>
      <c r="K853" t="s">
        <v>4124</v>
      </c>
      <c r="L853">
        <v>643139</v>
      </c>
      <c r="M853" t="s">
        <v>2877</v>
      </c>
    </row>
    <row r="854" spans="1:13" ht="15" x14ac:dyDescent="0.25">
      <c r="A854" t="s">
        <v>888</v>
      </c>
      <c r="B854" t="s">
        <v>11</v>
      </c>
      <c r="C854" t="s">
        <v>12</v>
      </c>
      <c r="D854" t="s">
        <v>24</v>
      </c>
      <c r="E854" t="s">
        <v>54</v>
      </c>
      <c r="F854" t="s">
        <v>55</v>
      </c>
      <c r="G854" t="s">
        <v>56</v>
      </c>
      <c r="H854"/>
      <c r="I854"/>
      <c r="J854"/>
      <c r="K854" t="s">
        <v>4125</v>
      </c>
      <c r="L854">
        <v>6654</v>
      </c>
      <c r="M854" t="s">
        <v>2878</v>
      </c>
    </row>
    <row r="855" spans="1:13" ht="15" x14ac:dyDescent="0.25">
      <c r="A855" t="s">
        <v>900</v>
      </c>
      <c r="B855" t="s">
        <v>11</v>
      </c>
      <c r="C855" t="s">
        <v>12</v>
      </c>
      <c r="D855" t="s">
        <v>228</v>
      </c>
      <c r="E855" t="s">
        <v>233</v>
      </c>
      <c r="F855" t="s">
        <v>692</v>
      </c>
      <c r="G855" t="s">
        <v>692</v>
      </c>
      <c r="H855"/>
      <c r="I855"/>
      <c r="J855"/>
      <c r="K855" t="s">
        <v>4126</v>
      </c>
      <c r="L855">
        <v>7461</v>
      </c>
      <c r="M855" t="s">
        <v>2879</v>
      </c>
    </row>
    <row r="856" spans="1:13" ht="15" x14ac:dyDescent="0.25">
      <c r="A856" t="s">
        <v>34</v>
      </c>
      <c r="B856" t="s">
        <v>11</v>
      </c>
      <c r="C856" t="s">
        <v>12</v>
      </c>
      <c r="D856" t="s">
        <v>29</v>
      </c>
      <c r="E856" t="s">
        <v>30</v>
      </c>
      <c r="F856" t="s">
        <v>31</v>
      </c>
      <c r="G856" t="s">
        <v>32</v>
      </c>
      <c r="H856"/>
      <c r="I856"/>
      <c r="J856"/>
      <c r="K856" t="s">
        <v>4127</v>
      </c>
      <c r="L856">
        <v>31260</v>
      </c>
      <c r="M856" t="s">
        <v>2880</v>
      </c>
    </row>
    <row r="857" spans="1:13" ht="15" x14ac:dyDescent="0.25">
      <c r="A857" t="s">
        <v>1428</v>
      </c>
      <c r="B857" t="s">
        <v>11</v>
      </c>
      <c r="C857" t="s">
        <v>12</v>
      </c>
      <c r="D857" t="s">
        <v>29</v>
      </c>
      <c r="E857" t="s">
        <v>30</v>
      </c>
      <c r="F857" t="s">
        <v>105</v>
      </c>
      <c r="G857" t="s">
        <v>158</v>
      </c>
      <c r="H857" t="s">
        <v>622</v>
      </c>
      <c r="I857" t="s">
        <v>623</v>
      </c>
      <c r="J857"/>
      <c r="K857" t="s">
        <v>4128</v>
      </c>
      <c r="L857">
        <v>61346</v>
      </c>
      <c r="M857" t="s">
        <v>2881</v>
      </c>
    </row>
    <row r="858" spans="1:13" ht="15" x14ac:dyDescent="0.25">
      <c r="A858" t="s">
        <v>1467</v>
      </c>
      <c r="B858" t="s">
        <v>11</v>
      </c>
      <c r="C858" t="s">
        <v>12</v>
      </c>
      <c r="D858" t="s">
        <v>1070</v>
      </c>
      <c r="E858" t="s">
        <v>1468</v>
      </c>
      <c r="F858"/>
      <c r="G858" t="s">
        <v>1468</v>
      </c>
      <c r="H858"/>
      <c r="I858"/>
      <c r="J858"/>
      <c r="K858" t="s">
        <v>4129</v>
      </c>
      <c r="L858">
        <v>19310</v>
      </c>
      <c r="M858" t="s">
        <v>2882</v>
      </c>
    </row>
    <row r="859" spans="1:13" ht="15" x14ac:dyDescent="0.25">
      <c r="A859" t="s">
        <v>1298</v>
      </c>
      <c r="B859" t="s">
        <v>11</v>
      </c>
      <c r="C859" t="s">
        <v>12</v>
      </c>
      <c r="D859" t="s">
        <v>101</v>
      </c>
      <c r="E859" t="s">
        <v>313</v>
      </c>
      <c r="F859" t="s">
        <v>684</v>
      </c>
      <c r="G859" t="s">
        <v>684</v>
      </c>
      <c r="H859"/>
      <c r="I859"/>
      <c r="J859"/>
      <c r="K859" t="s">
        <v>4130</v>
      </c>
      <c r="L859">
        <v>28905</v>
      </c>
      <c r="M859" t="s">
        <v>2883</v>
      </c>
    </row>
    <row r="860" spans="1:13" ht="15" x14ac:dyDescent="0.25">
      <c r="A860" t="s">
        <v>530</v>
      </c>
      <c r="B860" t="s">
        <v>11</v>
      </c>
      <c r="C860" t="s">
        <v>12</v>
      </c>
      <c r="D860" t="s">
        <v>29</v>
      </c>
      <c r="E860" t="s">
        <v>30</v>
      </c>
      <c r="F860" t="s">
        <v>105</v>
      </c>
      <c r="G860" t="s">
        <v>114</v>
      </c>
      <c r="H860" t="s">
        <v>152</v>
      </c>
      <c r="I860"/>
      <c r="J860"/>
      <c r="K860" t="s">
        <v>4131</v>
      </c>
      <c r="L860">
        <v>643731</v>
      </c>
      <c r="M860" t="s">
        <v>2884</v>
      </c>
    </row>
    <row r="861" spans="1:13" ht="15" x14ac:dyDescent="0.25">
      <c r="A861" t="s">
        <v>2417</v>
      </c>
      <c r="B861" t="s">
        <v>11</v>
      </c>
      <c r="C861" t="s">
        <v>12</v>
      </c>
      <c r="D861" t="s">
        <v>101</v>
      </c>
      <c r="E861" t="s">
        <v>686</v>
      </c>
      <c r="F861" t="s">
        <v>2472</v>
      </c>
      <c r="G861" t="s">
        <v>2472</v>
      </c>
      <c r="H861"/>
      <c r="I861"/>
      <c r="J861"/>
      <c r="K861" t="s">
        <v>4132</v>
      </c>
      <c r="L861">
        <v>11160239</v>
      </c>
      <c r="M861" t="s">
        <v>2885</v>
      </c>
    </row>
    <row r="862" spans="1:13" ht="15" x14ac:dyDescent="0.25">
      <c r="A862" t="s">
        <v>206</v>
      </c>
      <c r="B862" t="s">
        <v>11</v>
      </c>
      <c r="C862" t="s">
        <v>12</v>
      </c>
      <c r="D862" t="s">
        <v>36</v>
      </c>
      <c r="E862" t="s">
        <v>44</v>
      </c>
      <c r="F862" t="s">
        <v>207</v>
      </c>
      <c r="G862" t="s">
        <v>207</v>
      </c>
      <c r="H862"/>
      <c r="I862"/>
      <c r="J862"/>
      <c r="K862" t="s">
        <v>4133</v>
      </c>
      <c r="L862">
        <v>998</v>
      </c>
      <c r="M862" t="s">
        <v>2886</v>
      </c>
    </row>
    <row r="863" spans="1:13" ht="15" x14ac:dyDescent="0.25">
      <c r="A863" t="s">
        <v>662</v>
      </c>
      <c r="B863" t="s">
        <v>11</v>
      </c>
      <c r="C863" t="s">
        <v>12</v>
      </c>
      <c r="D863" t="s">
        <v>29</v>
      </c>
      <c r="E863" t="s">
        <v>30</v>
      </c>
      <c r="F863" t="s">
        <v>105</v>
      </c>
      <c r="G863" t="s">
        <v>114</v>
      </c>
      <c r="H863" t="s">
        <v>152</v>
      </c>
      <c r="I863"/>
      <c r="J863"/>
      <c r="K863" t="s">
        <v>4134</v>
      </c>
      <c r="L863">
        <v>5283339</v>
      </c>
      <c r="M863" t="s">
        <v>2887</v>
      </c>
    </row>
    <row r="864" spans="1:13" ht="15" x14ac:dyDescent="0.25">
      <c r="A864" t="s">
        <v>2418</v>
      </c>
      <c r="B864" t="s">
        <v>11</v>
      </c>
      <c r="C864" t="s">
        <v>12</v>
      </c>
      <c r="D864" t="s">
        <v>29</v>
      </c>
      <c r="E864" t="s">
        <v>30</v>
      </c>
      <c r="F864" t="s">
        <v>105</v>
      </c>
      <c r="G864" t="s">
        <v>2484</v>
      </c>
      <c r="H864" t="s">
        <v>2485</v>
      </c>
      <c r="I864"/>
      <c r="J864"/>
      <c r="K864" t="s">
        <v>4135</v>
      </c>
      <c r="L864">
        <v>529481</v>
      </c>
      <c r="M864" t="s">
        <v>2888</v>
      </c>
    </row>
    <row r="865" spans="1:13" ht="15" x14ac:dyDescent="0.25">
      <c r="A865" t="s">
        <v>1938</v>
      </c>
      <c r="B865" t="s">
        <v>11</v>
      </c>
      <c r="C865" t="s">
        <v>12</v>
      </c>
      <c r="D865" t="s">
        <v>29</v>
      </c>
      <c r="E865" t="s">
        <v>30</v>
      </c>
      <c r="F865" t="s">
        <v>105</v>
      </c>
      <c r="G865" t="s">
        <v>158</v>
      </c>
      <c r="H865" t="s">
        <v>622</v>
      </c>
      <c r="I865" t="s">
        <v>623</v>
      </c>
      <c r="J865"/>
      <c r="K865" t="s">
        <v>4136</v>
      </c>
      <c r="L865">
        <v>5366074</v>
      </c>
      <c r="M865" t="s">
        <v>2889</v>
      </c>
    </row>
    <row r="866" spans="1:13" ht="15" x14ac:dyDescent="0.25">
      <c r="A866" t="s">
        <v>2419</v>
      </c>
      <c r="B866" t="s">
        <v>11</v>
      </c>
      <c r="C866" t="s">
        <v>12</v>
      </c>
      <c r="D866" t="s">
        <v>36</v>
      </c>
      <c r="E866" t="s">
        <v>44</v>
      </c>
      <c r="F866"/>
      <c r="G866" t="s">
        <v>44</v>
      </c>
      <c r="H866"/>
      <c r="I866"/>
      <c r="J866"/>
      <c r="K866" t="s">
        <v>4137</v>
      </c>
      <c r="L866">
        <v>69863</v>
      </c>
      <c r="M866" t="s">
        <v>2890</v>
      </c>
    </row>
    <row r="867" spans="1:13" ht="15" x14ac:dyDescent="0.25">
      <c r="A867" t="s">
        <v>1957</v>
      </c>
      <c r="B867" t="s">
        <v>11</v>
      </c>
      <c r="C867" t="s">
        <v>12</v>
      </c>
      <c r="D867" t="s">
        <v>24</v>
      </c>
      <c r="E867" t="s">
        <v>54</v>
      </c>
      <c r="F867" t="s">
        <v>60</v>
      </c>
      <c r="G867" t="s">
        <v>60</v>
      </c>
      <c r="H867"/>
      <c r="I867"/>
      <c r="J867"/>
      <c r="K867" t="s">
        <v>4138</v>
      </c>
      <c r="L867">
        <v>638014</v>
      </c>
      <c r="M867" t="s">
        <v>2891</v>
      </c>
    </row>
    <row r="868" spans="1:13" ht="15" x14ac:dyDescent="0.25">
      <c r="A868" t="s">
        <v>656</v>
      </c>
      <c r="B868" t="s">
        <v>11</v>
      </c>
      <c r="C868" t="s">
        <v>12</v>
      </c>
      <c r="D868" t="s">
        <v>101</v>
      </c>
      <c r="E868" t="s">
        <v>199</v>
      </c>
      <c r="F868" t="s">
        <v>200</v>
      </c>
      <c r="G868" t="s">
        <v>200</v>
      </c>
      <c r="H868"/>
      <c r="I868"/>
      <c r="J868"/>
      <c r="K868" t="s">
        <v>4139</v>
      </c>
      <c r="L868">
        <v>7710</v>
      </c>
      <c r="M868" t="s">
        <v>2892</v>
      </c>
    </row>
    <row r="869" spans="1:13" ht="15" x14ac:dyDescent="0.25">
      <c r="A869" t="s">
        <v>1798</v>
      </c>
      <c r="B869" t="s">
        <v>11</v>
      </c>
      <c r="C869" t="s">
        <v>12</v>
      </c>
      <c r="D869" t="s">
        <v>101</v>
      </c>
      <c r="E869" t="s">
        <v>174</v>
      </c>
      <c r="F869" t="s">
        <v>175</v>
      </c>
      <c r="G869" t="s">
        <v>175</v>
      </c>
      <c r="H869"/>
      <c r="I869"/>
      <c r="J869"/>
      <c r="K869" t="s">
        <v>4140</v>
      </c>
      <c r="L869">
        <v>19309</v>
      </c>
      <c r="M869" t="s">
        <v>2893</v>
      </c>
    </row>
    <row r="870" spans="1:13" ht="15" x14ac:dyDescent="0.25">
      <c r="A870" t="s">
        <v>188</v>
      </c>
      <c r="B870" t="s">
        <v>11</v>
      </c>
      <c r="C870" t="s">
        <v>12</v>
      </c>
      <c r="D870" t="s">
        <v>36</v>
      </c>
      <c r="E870" t="s">
        <v>44</v>
      </c>
      <c r="F870" t="s">
        <v>137</v>
      </c>
      <c r="G870" t="s">
        <v>137</v>
      </c>
      <c r="H870"/>
      <c r="I870"/>
      <c r="J870"/>
      <c r="K870" t="s">
        <v>4141</v>
      </c>
      <c r="L870">
        <v>31244</v>
      </c>
      <c r="M870" t="s">
        <v>2894</v>
      </c>
    </row>
    <row r="871" spans="1:13" ht="15" x14ac:dyDescent="0.25">
      <c r="A871" t="s">
        <v>2420</v>
      </c>
      <c r="B871" t="s">
        <v>1391</v>
      </c>
      <c r="C871"/>
      <c r="D871"/>
      <c r="E871"/>
      <c r="F871"/>
      <c r="G871"/>
      <c r="H871"/>
      <c r="I871"/>
      <c r="J871"/>
      <c r="K871" t="s">
        <v>4142</v>
      </c>
      <c r="L871">
        <v>11701086</v>
      </c>
      <c r="M871" t="s">
        <v>2895</v>
      </c>
    </row>
    <row r="872" spans="1:13" ht="15" x14ac:dyDescent="0.25">
      <c r="A872" t="s">
        <v>1850</v>
      </c>
      <c r="B872" t="s">
        <v>11</v>
      </c>
      <c r="C872" t="s">
        <v>12</v>
      </c>
      <c r="D872" t="s">
        <v>36</v>
      </c>
      <c r="E872" t="s">
        <v>37</v>
      </c>
      <c r="F872" t="s">
        <v>1809</v>
      </c>
      <c r="G872" t="s">
        <v>1819</v>
      </c>
      <c r="H872"/>
      <c r="I872"/>
      <c r="J872"/>
      <c r="K872" t="s">
        <v>4143</v>
      </c>
      <c r="L872">
        <v>2879</v>
      </c>
      <c r="M872" t="s">
        <v>2896</v>
      </c>
    </row>
    <row r="873" spans="1:13" ht="15" x14ac:dyDescent="0.25">
      <c r="A873" t="s">
        <v>1447</v>
      </c>
      <c r="B873" t="s">
        <v>11</v>
      </c>
      <c r="C873" t="s">
        <v>12</v>
      </c>
      <c r="D873" t="s">
        <v>101</v>
      </c>
      <c r="E873" t="s">
        <v>199</v>
      </c>
      <c r="F873" t="s">
        <v>200</v>
      </c>
      <c r="G873" t="s">
        <v>200</v>
      </c>
      <c r="H873"/>
      <c r="I873"/>
      <c r="J873"/>
      <c r="K873" t="s">
        <v>4144</v>
      </c>
      <c r="L873">
        <v>12813</v>
      </c>
      <c r="M873" t="s">
        <v>1559</v>
      </c>
    </row>
    <row r="874" spans="1:13" ht="15" x14ac:dyDescent="0.25">
      <c r="A874" t="s">
        <v>446</v>
      </c>
      <c r="B874" t="s">
        <v>11</v>
      </c>
      <c r="C874" t="s">
        <v>12</v>
      </c>
      <c r="D874" t="s">
        <v>111</v>
      </c>
      <c r="E874" t="s">
        <v>304</v>
      </c>
      <c r="F874" t="s">
        <v>447</v>
      </c>
      <c r="G874" t="s">
        <v>447</v>
      </c>
      <c r="H874"/>
      <c r="I874"/>
      <c r="J874"/>
      <c r="K874" t="s">
        <v>4145</v>
      </c>
      <c r="L874">
        <v>637758</v>
      </c>
      <c r="M874" t="s">
        <v>2897</v>
      </c>
    </row>
    <row r="875" spans="1:13" ht="15" x14ac:dyDescent="0.25">
      <c r="A875" t="s">
        <v>2421</v>
      </c>
      <c r="B875" t="s">
        <v>11</v>
      </c>
      <c r="C875" t="s">
        <v>12</v>
      </c>
      <c r="D875" t="s">
        <v>29</v>
      </c>
      <c r="E875" t="s">
        <v>30</v>
      </c>
      <c r="F875" t="s">
        <v>40</v>
      </c>
      <c r="G875" t="s">
        <v>47</v>
      </c>
      <c r="H875" t="s">
        <v>331</v>
      </c>
      <c r="I875"/>
      <c r="J875"/>
      <c r="K875" t="s">
        <v>4146</v>
      </c>
      <c r="L875">
        <v>7321555</v>
      </c>
      <c r="M875" t="s">
        <v>2898</v>
      </c>
    </row>
    <row r="876" spans="1:13" ht="15" x14ac:dyDescent="0.25">
      <c r="A876" t="s">
        <v>1741</v>
      </c>
      <c r="B876" t="s">
        <v>11</v>
      </c>
      <c r="C876" t="s">
        <v>12</v>
      </c>
      <c r="D876" t="s">
        <v>36</v>
      </c>
      <c r="E876" t="s">
        <v>37</v>
      </c>
      <c r="F876" t="s">
        <v>38</v>
      </c>
      <c r="G876" t="s">
        <v>38</v>
      </c>
      <c r="H876"/>
      <c r="I876"/>
      <c r="J876"/>
      <c r="K876" t="s">
        <v>4147</v>
      </c>
      <c r="L876">
        <v>3314</v>
      </c>
      <c r="M876" t="s">
        <v>2899</v>
      </c>
    </row>
    <row r="877" spans="1:13" ht="15" x14ac:dyDescent="0.25">
      <c r="A877" t="s">
        <v>1832</v>
      </c>
      <c r="B877" t="s">
        <v>11</v>
      </c>
      <c r="C877" t="s">
        <v>12</v>
      </c>
      <c r="D877" t="s">
        <v>36</v>
      </c>
      <c r="E877" t="s">
        <v>37</v>
      </c>
      <c r="F877" t="s">
        <v>426</v>
      </c>
      <c r="G877" t="s">
        <v>426</v>
      </c>
      <c r="H877"/>
      <c r="I877"/>
      <c r="J877"/>
      <c r="K877" t="s">
        <v>4148</v>
      </c>
      <c r="L877">
        <v>31242</v>
      </c>
      <c r="M877" t="s">
        <v>2900</v>
      </c>
    </row>
    <row r="878" spans="1:13" ht="15" x14ac:dyDescent="0.25">
      <c r="A878" t="s">
        <v>1797</v>
      </c>
      <c r="B878" t="s">
        <v>11</v>
      </c>
      <c r="C878" t="s">
        <v>12</v>
      </c>
      <c r="D878" t="s">
        <v>36</v>
      </c>
      <c r="E878" t="s">
        <v>37</v>
      </c>
      <c r="F878" t="s">
        <v>38</v>
      </c>
      <c r="G878" t="s">
        <v>38</v>
      </c>
      <c r="H878"/>
      <c r="I878"/>
      <c r="J878"/>
      <c r="K878" t="s">
        <v>4149</v>
      </c>
      <c r="L878">
        <v>7041</v>
      </c>
      <c r="M878" t="s">
        <v>2901</v>
      </c>
    </row>
    <row r="879" spans="1:13" ht="15" x14ac:dyDescent="0.25">
      <c r="A879" t="s">
        <v>989</v>
      </c>
      <c r="B879" t="s">
        <v>11</v>
      </c>
      <c r="C879" t="s">
        <v>12</v>
      </c>
      <c r="D879" t="s">
        <v>36</v>
      </c>
      <c r="E879" t="s">
        <v>44</v>
      </c>
      <c r="F879" t="s">
        <v>323</v>
      </c>
      <c r="G879" t="s">
        <v>323</v>
      </c>
      <c r="H879"/>
      <c r="I879"/>
      <c r="J879"/>
      <c r="K879" t="s">
        <v>4150</v>
      </c>
      <c r="L879">
        <v>7501</v>
      </c>
      <c r="M879" t="s">
        <v>1121</v>
      </c>
    </row>
    <row r="880" spans="1:13" ht="15" x14ac:dyDescent="0.25">
      <c r="A880" t="s">
        <v>453</v>
      </c>
      <c r="B880" t="s">
        <v>11</v>
      </c>
      <c r="C880" t="s">
        <v>12</v>
      </c>
      <c r="D880" t="s">
        <v>111</v>
      </c>
      <c r="E880" t="s">
        <v>304</v>
      </c>
      <c r="F880" t="s">
        <v>305</v>
      </c>
      <c r="G880" t="s">
        <v>382</v>
      </c>
      <c r="H880"/>
      <c r="I880"/>
      <c r="J880"/>
      <c r="K880" t="s">
        <v>4151</v>
      </c>
      <c r="L880">
        <v>736681</v>
      </c>
      <c r="M880" t="s">
        <v>795</v>
      </c>
    </row>
    <row r="881" spans="1:13" ht="15" x14ac:dyDescent="0.25">
      <c r="A881" t="s">
        <v>2267</v>
      </c>
      <c r="B881" t="s">
        <v>11</v>
      </c>
      <c r="C881" t="s">
        <v>12</v>
      </c>
      <c r="D881" t="s">
        <v>24</v>
      </c>
      <c r="E881" t="s">
        <v>54</v>
      </c>
      <c r="F881" t="s">
        <v>986</v>
      </c>
      <c r="G881" t="s">
        <v>986</v>
      </c>
      <c r="H881"/>
      <c r="I881"/>
      <c r="J881"/>
      <c r="K881" t="s">
        <v>4152</v>
      </c>
      <c r="L881">
        <v>441676</v>
      </c>
      <c r="M881" t="s">
        <v>2337</v>
      </c>
    </row>
    <row r="882" spans="1:13" ht="15" x14ac:dyDescent="0.25">
      <c r="A882" t="s">
        <v>1370</v>
      </c>
      <c r="B882" t="s">
        <v>11</v>
      </c>
      <c r="C882" t="s">
        <v>12</v>
      </c>
      <c r="D882" t="s">
        <v>24</v>
      </c>
      <c r="E882" t="s">
        <v>54</v>
      </c>
      <c r="F882" t="s">
        <v>986</v>
      </c>
      <c r="G882" t="s">
        <v>986</v>
      </c>
      <c r="H882"/>
      <c r="I882"/>
      <c r="J882"/>
      <c r="K882" t="s">
        <v>4153</v>
      </c>
      <c r="L882">
        <v>90472508</v>
      </c>
      <c r="M882" t="s">
        <v>2337</v>
      </c>
    </row>
    <row r="883" spans="1:13" ht="15" x14ac:dyDescent="0.25">
      <c r="A883" t="s">
        <v>1223</v>
      </c>
      <c r="B883" t="s">
        <v>11</v>
      </c>
      <c r="C883" t="s">
        <v>12</v>
      </c>
      <c r="D883" t="s">
        <v>24</v>
      </c>
      <c r="E883" t="s">
        <v>54</v>
      </c>
      <c r="F883" t="s">
        <v>986</v>
      </c>
      <c r="G883" t="s">
        <v>986</v>
      </c>
      <c r="H883"/>
      <c r="I883"/>
      <c r="J883"/>
      <c r="K883" t="s">
        <v>4154</v>
      </c>
      <c r="L883">
        <v>4220788</v>
      </c>
      <c r="M883" t="s">
        <v>2337</v>
      </c>
    </row>
    <row r="884" spans="1:13" ht="15" x14ac:dyDescent="0.25">
      <c r="A884" t="s">
        <v>1369</v>
      </c>
      <c r="B884" t="s">
        <v>11</v>
      </c>
      <c r="C884" t="s">
        <v>12</v>
      </c>
      <c r="D884" t="s">
        <v>24</v>
      </c>
      <c r="E884" t="s">
        <v>54</v>
      </c>
      <c r="F884" t="s">
        <v>986</v>
      </c>
      <c r="G884" t="s">
        <v>986</v>
      </c>
      <c r="H884"/>
      <c r="I884"/>
      <c r="J884"/>
      <c r="K884" t="s">
        <v>4155</v>
      </c>
      <c r="L884">
        <v>466377</v>
      </c>
      <c r="M884" t="s">
        <v>2337</v>
      </c>
    </row>
    <row r="885" spans="1:13" ht="15" x14ac:dyDescent="0.25">
      <c r="A885" t="s">
        <v>1371</v>
      </c>
      <c r="B885" t="s">
        <v>11</v>
      </c>
      <c r="C885" t="s">
        <v>12</v>
      </c>
      <c r="D885" t="s">
        <v>24</v>
      </c>
      <c r="E885" t="s">
        <v>54</v>
      </c>
      <c r="F885" t="s">
        <v>986</v>
      </c>
      <c r="G885" t="s">
        <v>986</v>
      </c>
      <c r="H885"/>
      <c r="I885"/>
      <c r="J885"/>
      <c r="K885" t="s">
        <v>4156</v>
      </c>
      <c r="L885">
        <v>118701190</v>
      </c>
      <c r="M885" t="s">
        <v>2337</v>
      </c>
    </row>
    <row r="886" spans="1:13" ht="15" x14ac:dyDescent="0.25">
      <c r="A886" t="s">
        <v>2422</v>
      </c>
      <c r="B886" t="s">
        <v>11</v>
      </c>
      <c r="C886" t="s">
        <v>12</v>
      </c>
      <c r="D886" t="s">
        <v>24</v>
      </c>
      <c r="E886" t="s">
        <v>54</v>
      </c>
      <c r="F886" t="s">
        <v>986</v>
      </c>
      <c r="G886" t="s">
        <v>986</v>
      </c>
      <c r="H886"/>
      <c r="I886"/>
      <c r="J886"/>
      <c r="K886" t="s">
        <v>4157</v>
      </c>
      <c r="L886">
        <v>44584517</v>
      </c>
      <c r="M886" t="s">
        <v>2337</v>
      </c>
    </row>
    <row r="887" spans="1:13" ht="15" x14ac:dyDescent="0.25">
      <c r="A887" t="s">
        <v>1368</v>
      </c>
      <c r="B887" t="s">
        <v>11</v>
      </c>
      <c r="C887" t="s">
        <v>12</v>
      </c>
      <c r="D887" t="s">
        <v>24</v>
      </c>
      <c r="E887" t="s">
        <v>54</v>
      </c>
      <c r="F887" t="s">
        <v>986</v>
      </c>
      <c r="G887" t="s">
        <v>986</v>
      </c>
      <c r="H887"/>
      <c r="I887"/>
      <c r="J887"/>
      <c r="K887" t="s">
        <v>4158</v>
      </c>
      <c r="L887">
        <v>45033585</v>
      </c>
      <c r="M887" t="s">
        <v>2337</v>
      </c>
    </row>
    <row r="888" spans="1:13" ht="15" x14ac:dyDescent="0.25">
      <c r="A888" t="s">
        <v>2288</v>
      </c>
      <c r="B888" t="s">
        <v>11</v>
      </c>
      <c r="C888" t="s">
        <v>12</v>
      </c>
      <c r="D888" t="s">
        <v>24</v>
      </c>
      <c r="E888" t="s">
        <v>54</v>
      </c>
      <c r="F888" t="s">
        <v>986</v>
      </c>
      <c r="G888" t="s">
        <v>986</v>
      </c>
      <c r="H888"/>
      <c r="I888"/>
      <c r="J888"/>
      <c r="K888" t="s">
        <v>4159</v>
      </c>
      <c r="L888">
        <v>10494</v>
      </c>
      <c r="M888" t="s">
        <v>2347</v>
      </c>
    </row>
    <row r="889" spans="1:13" ht="15" x14ac:dyDescent="0.25">
      <c r="A889" t="s">
        <v>387</v>
      </c>
      <c r="B889" t="s">
        <v>11</v>
      </c>
      <c r="C889" t="s">
        <v>12</v>
      </c>
      <c r="D889" t="s">
        <v>24</v>
      </c>
      <c r="E889" t="s">
        <v>25</v>
      </c>
      <c r="F889" t="s">
        <v>388</v>
      </c>
      <c r="G889" t="s">
        <v>389</v>
      </c>
      <c r="H889"/>
      <c r="I889"/>
      <c r="J889"/>
      <c r="K889" t="s">
        <v>4160</v>
      </c>
      <c r="L889">
        <v>5282905</v>
      </c>
      <c r="M889" t="s">
        <v>2902</v>
      </c>
    </row>
    <row r="890" spans="1:13" ht="15" x14ac:dyDescent="0.25">
      <c r="A890" t="s">
        <v>1169</v>
      </c>
      <c r="B890" t="s">
        <v>11</v>
      </c>
      <c r="C890" t="s">
        <v>12</v>
      </c>
      <c r="D890" t="s">
        <v>111</v>
      </c>
      <c r="E890" t="s">
        <v>304</v>
      </c>
      <c r="F890" t="s">
        <v>305</v>
      </c>
      <c r="G890" t="s">
        <v>411</v>
      </c>
      <c r="H890" t="s">
        <v>412</v>
      </c>
      <c r="I890"/>
      <c r="J890"/>
      <c r="K890" t="s">
        <v>4161</v>
      </c>
      <c r="L890">
        <v>13430153</v>
      </c>
      <c r="M890" t="s">
        <v>2903</v>
      </c>
    </row>
    <row r="891" spans="1:13" ht="15" x14ac:dyDescent="0.25">
      <c r="A891" t="s">
        <v>1778</v>
      </c>
      <c r="B891" t="s">
        <v>11</v>
      </c>
      <c r="C891" t="s">
        <v>12</v>
      </c>
      <c r="D891" t="s">
        <v>111</v>
      </c>
      <c r="E891" t="s">
        <v>304</v>
      </c>
      <c r="F891" t="s">
        <v>305</v>
      </c>
      <c r="G891" t="s">
        <v>382</v>
      </c>
      <c r="H891"/>
      <c r="I891"/>
      <c r="J891"/>
      <c r="K891" t="s">
        <v>4162</v>
      </c>
      <c r="L891">
        <v>92015261</v>
      </c>
      <c r="M891" t="s">
        <v>2071</v>
      </c>
    </row>
    <row r="892" spans="1:13" ht="15" x14ac:dyDescent="0.25">
      <c r="A892" t="s">
        <v>235</v>
      </c>
      <c r="B892" t="s">
        <v>11</v>
      </c>
      <c r="C892" t="s">
        <v>12</v>
      </c>
      <c r="D892" t="s">
        <v>236</v>
      </c>
      <c r="E892" t="s">
        <v>237</v>
      </c>
      <c r="F892" t="s">
        <v>238</v>
      </c>
      <c r="G892" t="s">
        <v>239</v>
      </c>
      <c r="H892" t="s">
        <v>240</v>
      </c>
      <c r="I892"/>
      <c r="J892"/>
      <c r="K892" t="s">
        <v>4163</v>
      </c>
      <c r="L892">
        <v>6341</v>
      </c>
      <c r="M892" t="s">
        <v>745</v>
      </c>
    </row>
    <row r="893" spans="1:13" ht="15" x14ac:dyDescent="0.25">
      <c r="A893" t="s">
        <v>568</v>
      </c>
      <c r="B893" t="s">
        <v>11</v>
      </c>
      <c r="C893" t="s">
        <v>12</v>
      </c>
      <c r="D893" t="s">
        <v>24</v>
      </c>
      <c r="E893" t="s">
        <v>25</v>
      </c>
      <c r="F893" t="s">
        <v>388</v>
      </c>
      <c r="G893" t="s">
        <v>491</v>
      </c>
      <c r="H893" t="s">
        <v>492</v>
      </c>
      <c r="I893"/>
      <c r="J893"/>
      <c r="K893" t="s">
        <v>4164</v>
      </c>
      <c r="L893">
        <v>22253297</v>
      </c>
      <c r="M893" t="s">
        <v>2904</v>
      </c>
    </row>
    <row r="894" spans="1:13" ht="15" x14ac:dyDescent="0.25">
      <c r="A894" t="s">
        <v>663</v>
      </c>
      <c r="B894" t="s">
        <v>11</v>
      </c>
      <c r="C894" t="s">
        <v>12</v>
      </c>
      <c r="D894" t="s">
        <v>24</v>
      </c>
      <c r="E894" t="s">
        <v>25</v>
      </c>
      <c r="F894" t="s">
        <v>489</v>
      </c>
      <c r="G894" t="s">
        <v>533</v>
      </c>
      <c r="H894" t="s">
        <v>534</v>
      </c>
      <c r="I894"/>
      <c r="J894"/>
      <c r="K894" t="s">
        <v>4165</v>
      </c>
      <c r="L894">
        <v>6914662</v>
      </c>
      <c r="M894" t="s">
        <v>2905</v>
      </c>
    </row>
    <row r="895" spans="1:13" ht="15" x14ac:dyDescent="0.25">
      <c r="A895" t="s">
        <v>665</v>
      </c>
      <c r="B895" t="s">
        <v>11</v>
      </c>
      <c r="C895" t="s">
        <v>12</v>
      </c>
      <c r="D895" t="s">
        <v>24</v>
      </c>
      <c r="E895" t="s">
        <v>25</v>
      </c>
      <c r="F895" t="s">
        <v>489</v>
      </c>
      <c r="G895" t="s">
        <v>533</v>
      </c>
      <c r="H895" t="s">
        <v>534</v>
      </c>
      <c r="I895"/>
      <c r="J895"/>
      <c r="K895" t="s">
        <v>4166</v>
      </c>
      <c r="L895">
        <v>13908812</v>
      </c>
      <c r="M895" t="s">
        <v>2906</v>
      </c>
    </row>
    <row r="896" spans="1:13" ht="15" x14ac:dyDescent="0.25">
      <c r="A896" t="s">
        <v>1988</v>
      </c>
      <c r="B896" t="s">
        <v>11</v>
      </c>
      <c r="C896" t="s">
        <v>12</v>
      </c>
      <c r="D896" t="s">
        <v>24</v>
      </c>
      <c r="E896" t="s">
        <v>54</v>
      </c>
      <c r="F896" t="s">
        <v>420</v>
      </c>
      <c r="G896" t="s">
        <v>420</v>
      </c>
      <c r="H896"/>
      <c r="I896"/>
      <c r="J896"/>
      <c r="K896" t="s">
        <v>4167</v>
      </c>
      <c r="L896">
        <v>627190</v>
      </c>
      <c r="M896" t="s">
        <v>2136</v>
      </c>
    </row>
    <row r="897" spans="1:13" ht="15" x14ac:dyDescent="0.25">
      <c r="A897" t="s">
        <v>1840</v>
      </c>
      <c r="B897" t="s">
        <v>11</v>
      </c>
      <c r="C897" t="s">
        <v>12</v>
      </c>
      <c r="D897" t="s">
        <v>24</v>
      </c>
      <c r="E897" t="s">
        <v>54</v>
      </c>
      <c r="F897" t="s">
        <v>420</v>
      </c>
      <c r="G897" t="s">
        <v>420</v>
      </c>
      <c r="H897"/>
      <c r="I897"/>
      <c r="J897"/>
      <c r="K897" t="s">
        <v>4168</v>
      </c>
      <c r="L897">
        <v>94162</v>
      </c>
      <c r="M897" t="s">
        <v>2091</v>
      </c>
    </row>
    <row r="898" spans="1:13" ht="15" x14ac:dyDescent="0.25">
      <c r="A898" t="s">
        <v>1989</v>
      </c>
      <c r="B898" t="s">
        <v>11</v>
      </c>
      <c r="C898" t="s">
        <v>12</v>
      </c>
      <c r="D898" t="s">
        <v>24</v>
      </c>
      <c r="E898" t="s">
        <v>54</v>
      </c>
      <c r="F898" t="s">
        <v>420</v>
      </c>
      <c r="G898" t="s">
        <v>420</v>
      </c>
      <c r="H898"/>
      <c r="I898"/>
      <c r="J898"/>
      <c r="K898" t="s">
        <v>4169</v>
      </c>
      <c r="L898">
        <v>12310492</v>
      </c>
      <c r="M898" t="s">
        <v>2137</v>
      </c>
    </row>
    <row r="899" spans="1:13" ht="15" x14ac:dyDescent="0.25">
      <c r="A899" t="s">
        <v>2272</v>
      </c>
      <c r="B899" t="s">
        <v>11</v>
      </c>
      <c r="C899" t="s">
        <v>12</v>
      </c>
      <c r="D899" t="s">
        <v>24</v>
      </c>
      <c r="E899" t="s">
        <v>54</v>
      </c>
      <c r="F899" t="s">
        <v>986</v>
      </c>
      <c r="G899" t="s">
        <v>986</v>
      </c>
      <c r="H899"/>
      <c r="I899"/>
      <c r="J899"/>
      <c r="K899" t="s">
        <v>4170</v>
      </c>
      <c r="L899">
        <v>115250</v>
      </c>
      <c r="M899" t="s">
        <v>2340</v>
      </c>
    </row>
    <row r="900" spans="1:13" ht="15" x14ac:dyDescent="0.25">
      <c r="A900" t="s">
        <v>2280</v>
      </c>
      <c r="B900" t="s">
        <v>11</v>
      </c>
      <c r="C900" t="s">
        <v>12</v>
      </c>
      <c r="D900" t="s">
        <v>24</v>
      </c>
      <c r="E900" t="s">
        <v>54</v>
      </c>
      <c r="F900" t="s">
        <v>986</v>
      </c>
      <c r="G900" t="s">
        <v>986</v>
      </c>
      <c r="H900"/>
      <c r="I900"/>
      <c r="J900"/>
      <c r="K900" t="s">
        <v>4171</v>
      </c>
      <c r="L900">
        <v>73170</v>
      </c>
      <c r="M900" t="s">
        <v>2907</v>
      </c>
    </row>
    <row r="901" spans="1:13" ht="15" x14ac:dyDescent="0.25">
      <c r="A901" t="s">
        <v>1276</v>
      </c>
      <c r="B901" t="s">
        <v>11</v>
      </c>
      <c r="C901" t="s">
        <v>12</v>
      </c>
      <c r="D901" t="s">
        <v>24</v>
      </c>
      <c r="E901" t="s">
        <v>54</v>
      </c>
      <c r="F901" t="s">
        <v>986</v>
      </c>
      <c r="G901" t="s">
        <v>986</v>
      </c>
      <c r="H901"/>
      <c r="I901"/>
      <c r="J901"/>
      <c r="K901" t="s">
        <v>4172</v>
      </c>
      <c r="L901">
        <v>12306160</v>
      </c>
      <c r="M901" t="s">
        <v>2908</v>
      </c>
    </row>
    <row r="902" spans="1:13" ht="15" x14ac:dyDescent="0.25">
      <c r="A902" t="s">
        <v>2284</v>
      </c>
      <c r="B902" t="s">
        <v>11</v>
      </c>
      <c r="C902" t="s">
        <v>12</v>
      </c>
      <c r="D902" t="s">
        <v>24</v>
      </c>
      <c r="E902" t="s">
        <v>54</v>
      </c>
      <c r="F902" t="s">
        <v>986</v>
      </c>
      <c r="G902" t="s">
        <v>986</v>
      </c>
      <c r="H902"/>
      <c r="I902"/>
      <c r="J902"/>
      <c r="K902" t="s">
        <v>4173</v>
      </c>
      <c r="L902">
        <v>73145</v>
      </c>
      <c r="M902" t="s">
        <v>2909</v>
      </c>
    </row>
    <row r="903" spans="1:13" ht="15" x14ac:dyDescent="0.25">
      <c r="A903" t="s">
        <v>2423</v>
      </c>
      <c r="B903" t="s">
        <v>11</v>
      </c>
      <c r="C903" t="s">
        <v>12</v>
      </c>
      <c r="D903" t="s">
        <v>24</v>
      </c>
      <c r="E903" t="s">
        <v>54</v>
      </c>
      <c r="F903" t="s">
        <v>986</v>
      </c>
      <c r="G903" t="s">
        <v>986</v>
      </c>
      <c r="H903"/>
      <c r="I903"/>
      <c r="J903"/>
      <c r="K903" t="s">
        <v>4174</v>
      </c>
      <c r="L903">
        <v>14079468</v>
      </c>
      <c r="M903" t="s">
        <v>2910</v>
      </c>
    </row>
    <row r="904" spans="1:13" ht="15" x14ac:dyDescent="0.25">
      <c r="A904" t="s">
        <v>2262</v>
      </c>
      <c r="B904" t="s">
        <v>11</v>
      </c>
      <c r="C904" t="s">
        <v>12</v>
      </c>
      <c r="D904" t="s">
        <v>24</v>
      </c>
      <c r="E904" t="s">
        <v>94</v>
      </c>
      <c r="F904" t="s">
        <v>1199</v>
      </c>
      <c r="G904" t="s">
        <v>1199</v>
      </c>
      <c r="H904"/>
      <c r="I904"/>
      <c r="J904"/>
      <c r="K904" t="s">
        <v>4175</v>
      </c>
      <c r="L904">
        <v>518616</v>
      </c>
      <c r="M904" t="s">
        <v>2911</v>
      </c>
    </row>
    <row r="905" spans="1:13" ht="15" x14ac:dyDescent="0.25">
      <c r="A905" t="s">
        <v>1860</v>
      </c>
      <c r="B905" t="s">
        <v>11</v>
      </c>
      <c r="C905" t="s">
        <v>12</v>
      </c>
      <c r="D905" t="s">
        <v>111</v>
      </c>
      <c r="E905" t="s">
        <v>120</v>
      </c>
      <c r="F905" t="s">
        <v>121</v>
      </c>
      <c r="G905" t="s">
        <v>122</v>
      </c>
      <c r="H905"/>
      <c r="I905"/>
      <c r="J905"/>
      <c r="K905" t="s">
        <v>4176</v>
      </c>
      <c r="L905">
        <v>1890</v>
      </c>
      <c r="M905" t="s">
        <v>2912</v>
      </c>
    </row>
    <row r="906" spans="1:13" ht="15" x14ac:dyDescent="0.25">
      <c r="A906" t="s">
        <v>1605</v>
      </c>
      <c r="B906" t="s">
        <v>11</v>
      </c>
      <c r="C906" t="s">
        <v>12</v>
      </c>
      <c r="D906" t="s">
        <v>111</v>
      </c>
      <c r="E906" t="s">
        <v>120</v>
      </c>
      <c r="F906" t="s">
        <v>1592</v>
      </c>
      <c r="G906" t="s">
        <v>1606</v>
      </c>
      <c r="H906"/>
      <c r="I906"/>
      <c r="J906"/>
      <c r="K906" t="s">
        <v>4177</v>
      </c>
      <c r="L906">
        <v>42607832</v>
      </c>
      <c r="M906" t="s">
        <v>2913</v>
      </c>
    </row>
    <row r="907" spans="1:13" ht="15" x14ac:dyDescent="0.25">
      <c r="A907" t="s">
        <v>1682</v>
      </c>
      <c r="B907" t="s">
        <v>11</v>
      </c>
      <c r="C907" t="s">
        <v>12</v>
      </c>
      <c r="D907" t="s">
        <v>111</v>
      </c>
      <c r="E907" t="s">
        <v>120</v>
      </c>
      <c r="F907" t="s">
        <v>1226</v>
      </c>
      <c r="G907" t="s">
        <v>1227</v>
      </c>
      <c r="H907"/>
      <c r="I907"/>
      <c r="J907"/>
      <c r="K907" t="s">
        <v>4178</v>
      </c>
      <c r="L907">
        <v>14079475</v>
      </c>
      <c r="M907" t="s">
        <v>2914</v>
      </c>
    </row>
    <row r="908" spans="1:13" ht="15" x14ac:dyDescent="0.25">
      <c r="A908" t="s">
        <v>1645</v>
      </c>
      <c r="B908" t="s">
        <v>11</v>
      </c>
      <c r="C908" t="s">
        <v>12</v>
      </c>
      <c r="D908" t="s">
        <v>111</v>
      </c>
      <c r="E908" t="s">
        <v>120</v>
      </c>
      <c r="F908" t="s">
        <v>1226</v>
      </c>
      <c r="G908" t="s">
        <v>1227</v>
      </c>
      <c r="H908"/>
      <c r="I908"/>
      <c r="J908"/>
      <c r="K908" t="s">
        <v>4179</v>
      </c>
      <c r="L908">
        <v>5491798</v>
      </c>
      <c r="M908" t="s">
        <v>2915</v>
      </c>
    </row>
    <row r="909" spans="1:13" ht="15" x14ac:dyDescent="0.25">
      <c r="A909" t="s">
        <v>1671</v>
      </c>
      <c r="B909" t="s">
        <v>11</v>
      </c>
      <c r="C909" t="s">
        <v>12</v>
      </c>
      <c r="D909" t="s">
        <v>111</v>
      </c>
      <c r="E909" t="s">
        <v>120</v>
      </c>
      <c r="F909" t="s">
        <v>1226</v>
      </c>
      <c r="G909" t="s">
        <v>1227</v>
      </c>
      <c r="H909"/>
      <c r="I909"/>
      <c r="J909"/>
      <c r="K909" t="s">
        <v>4180</v>
      </c>
      <c r="L909">
        <v>5393152</v>
      </c>
      <c r="M909" t="s">
        <v>2916</v>
      </c>
    </row>
    <row r="910" spans="1:13" ht="15" x14ac:dyDescent="0.25">
      <c r="A910" t="s">
        <v>1859</v>
      </c>
      <c r="B910" t="s">
        <v>11</v>
      </c>
      <c r="C910" t="s">
        <v>12</v>
      </c>
      <c r="D910" t="s">
        <v>111</v>
      </c>
      <c r="E910" t="s">
        <v>120</v>
      </c>
      <c r="F910" t="s">
        <v>121</v>
      </c>
      <c r="G910" t="s">
        <v>122</v>
      </c>
      <c r="H910"/>
      <c r="I910"/>
      <c r="J910"/>
      <c r="K910" t="s">
        <v>4181</v>
      </c>
      <c r="L910">
        <v>44335549</v>
      </c>
      <c r="M910" t="s">
        <v>2917</v>
      </c>
    </row>
    <row r="911" spans="1:13" ht="15" x14ac:dyDescent="0.25">
      <c r="A911" t="s">
        <v>1738</v>
      </c>
      <c r="B911" t="s">
        <v>11</v>
      </c>
      <c r="C911" t="s">
        <v>12</v>
      </c>
      <c r="D911" t="s">
        <v>36</v>
      </c>
      <c r="E911" t="s">
        <v>37</v>
      </c>
      <c r="F911" t="s">
        <v>38</v>
      </c>
      <c r="G911" t="s">
        <v>38</v>
      </c>
      <c r="H911"/>
      <c r="I911"/>
      <c r="J911"/>
      <c r="K911" t="s">
        <v>4182</v>
      </c>
      <c r="L911">
        <v>226486</v>
      </c>
      <c r="M911" t="s">
        <v>2918</v>
      </c>
    </row>
    <row r="912" spans="1:13" ht="15" x14ac:dyDescent="0.25">
      <c r="A912" t="s">
        <v>484</v>
      </c>
      <c r="B912" t="s">
        <v>11</v>
      </c>
      <c r="C912" t="s">
        <v>12</v>
      </c>
      <c r="D912" t="s">
        <v>36</v>
      </c>
      <c r="E912" t="s">
        <v>480</v>
      </c>
      <c r="F912" t="s">
        <v>481</v>
      </c>
      <c r="G912" t="s">
        <v>481</v>
      </c>
      <c r="H912"/>
      <c r="I912"/>
      <c r="J912"/>
      <c r="K912" t="s">
        <v>4183</v>
      </c>
      <c r="L912">
        <v>5281758</v>
      </c>
      <c r="M912" t="s">
        <v>2919</v>
      </c>
    </row>
    <row r="913" spans="1:13" ht="15" x14ac:dyDescent="0.25">
      <c r="A913" t="s">
        <v>1711</v>
      </c>
      <c r="B913" t="s">
        <v>11</v>
      </c>
      <c r="C913" t="s">
        <v>12</v>
      </c>
      <c r="D913" t="s">
        <v>111</v>
      </c>
      <c r="E913" t="s">
        <v>1071</v>
      </c>
      <c r="F913" t="s">
        <v>1590</v>
      </c>
      <c r="G913" t="s">
        <v>1591</v>
      </c>
      <c r="H913" t="s">
        <v>1708</v>
      </c>
      <c r="I913"/>
      <c r="J913"/>
      <c r="K913" t="s">
        <v>4184</v>
      </c>
      <c r="L913">
        <v>5280378</v>
      </c>
      <c r="M913" t="s">
        <v>2049</v>
      </c>
    </row>
    <row r="914" spans="1:13" ht="15" x14ac:dyDescent="0.25">
      <c r="A914" t="s">
        <v>1718</v>
      </c>
      <c r="B914" t="s">
        <v>11</v>
      </c>
      <c r="C914" t="s">
        <v>12</v>
      </c>
      <c r="D914" t="s">
        <v>111</v>
      </c>
      <c r="E914" t="s">
        <v>1071</v>
      </c>
      <c r="F914" t="s">
        <v>1590</v>
      </c>
      <c r="G914" t="s">
        <v>1719</v>
      </c>
      <c r="H914"/>
      <c r="I914"/>
      <c r="J914"/>
      <c r="K914" t="s">
        <v>4185</v>
      </c>
      <c r="L914">
        <v>591830</v>
      </c>
      <c r="M914" t="s">
        <v>2051</v>
      </c>
    </row>
    <row r="915" spans="1:13" ht="15" x14ac:dyDescent="0.25">
      <c r="A915" t="s">
        <v>1707</v>
      </c>
      <c r="B915" t="s">
        <v>11</v>
      </c>
      <c r="C915" t="s">
        <v>12</v>
      </c>
      <c r="D915" t="s">
        <v>111</v>
      </c>
      <c r="E915" t="s">
        <v>1071</v>
      </c>
      <c r="F915" t="s">
        <v>1590</v>
      </c>
      <c r="G915" t="s">
        <v>1591</v>
      </c>
      <c r="H915" t="s">
        <v>1708</v>
      </c>
      <c r="I915"/>
      <c r="J915"/>
      <c r="K915" t="s">
        <v>4186</v>
      </c>
      <c r="L915">
        <v>5280373</v>
      </c>
      <c r="M915" t="s">
        <v>2048</v>
      </c>
    </row>
    <row r="916" spans="1:13" ht="15" x14ac:dyDescent="0.25">
      <c r="A916" t="s">
        <v>1715</v>
      </c>
      <c r="B916" t="s">
        <v>11</v>
      </c>
      <c r="C916" t="s">
        <v>12</v>
      </c>
      <c r="D916" t="s">
        <v>111</v>
      </c>
      <c r="E916" t="s">
        <v>1071</v>
      </c>
      <c r="F916" t="s">
        <v>1590</v>
      </c>
      <c r="G916" t="s">
        <v>1591</v>
      </c>
      <c r="H916"/>
      <c r="I916"/>
      <c r="J916"/>
      <c r="K916" t="s">
        <v>4187</v>
      </c>
      <c r="L916">
        <v>44446897</v>
      </c>
      <c r="M916" t="s">
        <v>2920</v>
      </c>
    </row>
    <row r="917" spans="1:13" ht="15" x14ac:dyDescent="0.25">
      <c r="A917" t="s">
        <v>1714</v>
      </c>
      <c r="B917" t="s">
        <v>11</v>
      </c>
      <c r="C917" t="s">
        <v>12</v>
      </c>
      <c r="D917" t="s">
        <v>111</v>
      </c>
      <c r="E917" t="s">
        <v>1071</v>
      </c>
      <c r="F917" t="s">
        <v>1590</v>
      </c>
      <c r="G917" t="s">
        <v>1591</v>
      </c>
      <c r="H917"/>
      <c r="I917"/>
      <c r="J917"/>
      <c r="K917" t="s">
        <v>4188</v>
      </c>
      <c r="L917">
        <v>44446883</v>
      </c>
      <c r="M917" t="s">
        <v>2921</v>
      </c>
    </row>
    <row r="918" spans="1:13" ht="15" x14ac:dyDescent="0.25">
      <c r="A918" t="s">
        <v>2177</v>
      </c>
      <c r="B918" t="s">
        <v>11</v>
      </c>
      <c r="C918" t="s">
        <v>12</v>
      </c>
      <c r="D918" t="s">
        <v>24</v>
      </c>
      <c r="E918" t="s">
        <v>54</v>
      </c>
      <c r="F918" t="s">
        <v>55</v>
      </c>
      <c r="G918" t="s">
        <v>56</v>
      </c>
      <c r="H918"/>
      <c r="I918"/>
      <c r="J918"/>
      <c r="K918" t="s">
        <v>4189</v>
      </c>
      <c r="L918">
        <v>76967922</v>
      </c>
      <c r="M918" t="s">
        <v>2313</v>
      </c>
    </row>
    <row r="919" spans="1:13" ht="15" x14ac:dyDescent="0.25">
      <c r="A919" t="s">
        <v>1039</v>
      </c>
      <c r="B919" t="s">
        <v>11</v>
      </c>
      <c r="C919" t="s">
        <v>12</v>
      </c>
      <c r="D919" t="s">
        <v>24</v>
      </c>
      <c r="E919" t="s">
        <v>54</v>
      </c>
      <c r="F919" t="s">
        <v>55</v>
      </c>
      <c r="G919" t="s">
        <v>56</v>
      </c>
      <c r="H919"/>
      <c r="I919"/>
      <c r="J919"/>
      <c r="K919" t="s">
        <v>4190</v>
      </c>
      <c r="L919">
        <v>5352088</v>
      </c>
      <c r="M919" t="s">
        <v>2313</v>
      </c>
    </row>
    <row r="920" spans="1:13" ht="15" x14ac:dyDescent="0.25">
      <c r="A920" t="s">
        <v>1038</v>
      </c>
      <c r="B920" t="s">
        <v>11</v>
      </c>
      <c r="C920" t="s">
        <v>12</v>
      </c>
      <c r="D920" t="s">
        <v>24</v>
      </c>
      <c r="E920" t="s">
        <v>54</v>
      </c>
      <c r="F920" t="s">
        <v>55</v>
      </c>
      <c r="G920" t="s">
        <v>56</v>
      </c>
      <c r="H920"/>
      <c r="I920"/>
      <c r="J920"/>
      <c r="K920" t="s">
        <v>4191</v>
      </c>
      <c r="L920">
        <v>392469</v>
      </c>
      <c r="M920" t="s">
        <v>2313</v>
      </c>
    </row>
    <row r="921" spans="1:13" ht="15" x14ac:dyDescent="0.25">
      <c r="A921" t="s">
        <v>1040</v>
      </c>
      <c r="B921" t="s">
        <v>11</v>
      </c>
      <c r="C921" t="s">
        <v>12</v>
      </c>
      <c r="D921" t="s">
        <v>24</v>
      </c>
      <c r="E921" t="s">
        <v>54</v>
      </c>
      <c r="F921" t="s">
        <v>55</v>
      </c>
      <c r="G921" t="s">
        <v>56</v>
      </c>
      <c r="H921"/>
      <c r="I921"/>
      <c r="J921"/>
      <c r="K921" t="s">
        <v>4192</v>
      </c>
      <c r="L921">
        <v>5476629</v>
      </c>
      <c r="M921" t="s">
        <v>1140</v>
      </c>
    </row>
    <row r="922" spans="1:13" ht="15" x14ac:dyDescent="0.25">
      <c r="A922" t="s">
        <v>1036</v>
      </c>
      <c r="B922" t="s">
        <v>11</v>
      </c>
      <c r="C922" t="s">
        <v>12</v>
      </c>
      <c r="D922" t="s">
        <v>24</v>
      </c>
      <c r="E922" t="s">
        <v>54</v>
      </c>
      <c r="F922" t="s">
        <v>55</v>
      </c>
      <c r="G922" t="s">
        <v>56</v>
      </c>
      <c r="H922"/>
      <c r="I922"/>
      <c r="J922"/>
      <c r="K922" t="s">
        <v>4193</v>
      </c>
      <c r="L922">
        <v>9938674</v>
      </c>
      <c r="M922" t="s">
        <v>1140</v>
      </c>
    </row>
    <row r="923" spans="1:13" ht="15" x14ac:dyDescent="0.25">
      <c r="A923" t="s">
        <v>2193</v>
      </c>
      <c r="B923" t="s">
        <v>11</v>
      </c>
      <c r="C923" t="s">
        <v>12</v>
      </c>
      <c r="D923" t="s">
        <v>24</v>
      </c>
      <c r="E923" t="s">
        <v>54</v>
      </c>
      <c r="F923" t="s">
        <v>55</v>
      </c>
      <c r="G923" t="s">
        <v>56</v>
      </c>
      <c r="H923"/>
      <c r="I923"/>
      <c r="J923"/>
      <c r="K923" t="s">
        <v>4194</v>
      </c>
      <c r="L923">
        <v>5281574</v>
      </c>
      <c r="M923" t="s">
        <v>1140</v>
      </c>
    </row>
    <row r="924" spans="1:13" ht="15" x14ac:dyDescent="0.25">
      <c r="A924" t="s">
        <v>2293</v>
      </c>
      <c r="B924" t="s">
        <v>11</v>
      </c>
      <c r="C924" t="s">
        <v>12</v>
      </c>
      <c r="D924" t="s">
        <v>24</v>
      </c>
      <c r="E924" t="s">
        <v>54</v>
      </c>
      <c r="F924" t="s">
        <v>55</v>
      </c>
      <c r="G924" t="s">
        <v>56</v>
      </c>
      <c r="H924"/>
      <c r="I924"/>
      <c r="J924"/>
      <c r="K924" t="s">
        <v>4195</v>
      </c>
      <c r="L924">
        <v>5887528</v>
      </c>
      <c r="M924" t="s">
        <v>1140</v>
      </c>
    </row>
    <row r="925" spans="1:13" ht="15" x14ac:dyDescent="0.25">
      <c r="A925" t="s">
        <v>1037</v>
      </c>
      <c r="B925" t="s">
        <v>11</v>
      </c>
      <c r="C925" t="s">
        <v>12</v>
      </c>
      <c r="D925" t="s">
        <v>24</v>
      </c>
      <c r="E925" t="s">
        <v>54</v>
      </c>
      <c r="F925" t="s">
        <v>55</v>
      </c>
      <c r="G925" t="s">
        <v>56</v>
      </c>
      <c r="H925"/>
      <c r="I925"/>
      <c r="J925"/>
      <c r="K925" t="s">
        <v>4196</v>
      </c>
      <c r="L925">
        <v>442548</v>
      </c>
      <c r="M925" t="s">
        <v>1140</v>
      </c>
    </row>
    <row r="926" spans="1:13" ht="15" x14ac:dyDescent="0.25">
      <c r="A926" t="s">
        <v>409</v>
      </c>
      <c r="B926" t="s">
        <v>11</v>
      </c>
      <c r="C926" t="s">
        <v>12</v>
      </c>
      <c r="D926" t="s">
        <v>29</v>
      </c>
      <c r="E926" t="s">
        <v>30</v>
      </c>
      <c r="F926" t="s">
        <v>31</v>
      </c>
      <c r="G926" t="s">
        <v>399</v>
      </c>
      <c r="H926" t="s">
        <v>400</v>
      </c>
      <c r="I926" t="s">
        <v>401</v>
      </c>
      <c r="J926"/>
      <c r="K926" t="s">
        <v>4197</v>
      </c>
      <c r="L926">
        <v>6474310</v>
      </c>
      <c r="M926" t="s">
        <v>2922</v>
      </c>
    </row>
    <row r="927" spans="1:13" ht="15" x14ac:dyDescent="0.25">
      <c r="A927" t="s">
        <v>1052</v>
      </c>
      <c r="B927" t="s">
        <v>11</v>
      </c>
      <c r="C927" t="s">
        <v>12</v>
      </c>
      <c r="D927" t="s">
        <v>29</v>
      </c>
      <c r="E927" t="s">
        <v>30</v>
      </c>
      <c r="F927" t="s">
        <v>105</v>
      </c>
      <c r="G927" t="s">
        <v>106</v>
      </c>
      <c r="H927"/>
      <c r="I927"/>
      <c r="J927"/>
      <c r="K927" t="s">
        <v>4198</v>
      </c>
      <c r="L927">
        <v>13187</v>
      </c>
      <c r="M927" t="s">
        <v>2923</v>
      </c>
    </row>
    <row r="928" spans="1:13" ht="15" x14ac:dyDescent="0.25">
      <c r="A928" t="s">
        <v>917</v>
      </c>
      <c r="B928" t="s">
        <v>11</v>
      </c>
      <c r="C928" t="s">
        <v>12</v>
      </c>
      <c r="D928" t="s">
        <v>24</v>
      </c>
      <c r="E928" t="s">
        <v>54</v>
      </c>
      <c r="F928" t="s">
        <v>60</v>
      </c>
      <c r="G928" t="s">
        <v>60</v>
      </c>
      <c r="H928"/>
      <c r="I928"/>
      <c r="J928"/>
      <c r="K928" t="s">
        <v>4199</v>
      </c>
      <c r="L928">
        <v>70678558</v>
      </c>
      <c r="M928" t="s">
        <v>2924</v>
      </c>
    </row>
    <row r="929" spans="1:13" ht="15" x14ac:dyDescent="0.25">
      <c r="A929" t="s">
        <v>950</v>
      </c>
      <c r="B929" t="s">
        <v>11</v>
      </c>
      <c r="C929" t="s">
        <v>12</v>
      </c>
      <c r="D929" t="s">
        <v>24</v>
      </c>
      <c r="E929" t="s">
        <v>54</v>
      </c>
      <c r="F929" t="s">
        <v>60</v>
      </c>
      <c r="G929" t="s">
        <v>60</v>
      </c>
      <c r="H929"/>
      <c r="I929"/>
      <c r="J929"/>
      <c r="K929" t="s">
        <v>4200</v>
      </c>
      <c r="L929">
        <v>12303902</v>
      </c>
      <c r="M929" t="s">
        <v>2924</v>
      </c>
    </row>
    <row r="930" spans="1:13" ht="15" x14ac:dyDescent="0.25">
      <c r="A930" t="s">
        <v>943</v>
      </c>
      <c r="B930" t="s">
        <v>11</v>
      </c>
      <c r="C930" t="s">
        <v>12</v>
      </c>
      <c r="D930" t="s">
        <v>24</v>
      </c>
      <c r="E930" t="s">
        <v>54</v>
      </c>
      <c r="F930" t="s">
        <v>60</v>
      </c>
      <c r="G930" t="s">
        <v>60</v>
      </c>
      <c r="H930"/>
      <c r="I930"/>
      <c r="J930"/>
      <c r="K930" t="s">
        <v>4201</v>
      </c>
      <c r="L930">
        <v>442359</v>
      </c>
      <c r="M930" t="s">
        <v>2925</v>
      </c>
    </row>
    <row r="931" spans="1:13" ht="15" x14ac:dyDescent="0.25">
      <c r="A931" t="s">
        <v>928</v>
      </c>
      <c r="B931" t="s">
        <v>11</v>
      </c>
      <c r="C931" t="s">
        <v>12</v>
      </c>
      <c r="D931" t="s">
        <v>24</v>
      </c>
      <c r="E931" t="s">
        <v>54</v>
      </c>
      <c r="F931" t="s">
        <v>60</v>
      </c>
      <c r="G931" t="s">
        <v>60</v>
      </c>
      <c r="H931"/>
      <c r="I931"/>
      <c r="J931"/>
      <c r="K931" t="s">
        <v>4202</v>
      </c>
      <c r="L931">
        <v>5281516</v>
      </c>
      <c r="M931" t="s">
        <v>2926</v>
      </c>
    </row>
    <row r="932" spans="1:13" ht="15" x14ac:dyDescent="0.25">
      <c r="A932" t="s">
        <v>2178</v>
      </c>
      <c r="B932" t="s">
        <v>11</v>
      </c>
      <c r="C932" t="s">
        <v>12</v>
      </c>
      <c r="D932" t="s">
        <v>228</v>
      </c>
      <c r="E932" t="s">
        <v>233</v>
      </c>
      <c r="F932" t="s">
        <v>692</v>
      </c>
      <c r="G932" t="s">
        <v>692</v>
      </c>
      <c r="H932"/>
      <c r="I932"/>
      <c r="J932"/>
      <c r="K932" t="s">
        <v>4203</v>
      </c>
      <c r="L932">
        <v>11240513</v>
      </c>
      <c r="M932" t="s">
        <v>2314</v>
      </c>
    </row>
    <row r="933" spans="1:13" ht="15" x14ac:dyDescent="0.25">
      <c r="A933" t="s">
        <v>1208</v>
      </c>
      <c r="B933" t="s">
        <v>11</v>
      </c>
      <c r="C933" t="s">
        <v>12</v>
      </c>
      <c r="D933" t="s">
        <v>24</v>
      </c>
      <c r="E933" t="s">
        <v>54</v>
      </c>
      <c r="F933" t="s">
        <v>60</v>
      </c>
      <c r="G933" t="s">
        <v>60</v>
      </c>
      <c r="H933"/>
      <c r="I933"/>
      <c r="J933"/>
      <c r="K933" t="s">
        <v>4204</v>
      </c>
      <c r="L933">
        <v>156582222</v>
      </c>
      <c r="M933" t="s">
        <v>2927</v>
      </c>
    </row>
    <row r="934" spans="1:13" ht="15" x14ac:dyDescent="0.25">
      <c r="A934" t="s">
        <v>2199</v>
      </c>
      <c r="B934" t="s">
        <v>11</v>
      </c>
      <c r="C934" t="s">
        <v>12</v>
      </c>
      <c r="D934" t="s">
        <v>24</v>
      </c>
      <c r="E934" t="s">
        <v>54</v>
      </c>
      <c r="F934" t="s">
        <v>60</v>
      </c>
      <c r="G934" t="s">
        <v>60</v>
      </c>
      <c r="H934"/>
      <c r="I934"/>
      <c r="J934"/>
      <c r="K934" t="s">
        <v>4205</v>
      </c>
      <c r="L934">
        <v>62566</v>
      </c>
      <c r="M934" t="s">
        <v>2927</v>
      </c>
    </row>
    <row r="935" spans="1:13" ht="15" x14ac:dyDescent="0.25">
      <c r="A935" t="s">
        <v>899</v>
      </c>
      <c r="B935" t="s">
        <v>11</v>
      </c>
      <c r="C935" t="s">
        <v>12</v>
      </c>
      <c r="D935" t="s">
        <v>24</v>
      </c>
      <c r="E935" t="s">
        <v>54</v>
      </c>
      <c r="F935" t="s">
        <v>55</v>
      </c>
      <c r="G935" t="s">
        <v>97</v>
      </c>
      <c r="H935"/>
      <c r="I935"/>
      <c r="J935"/>
      <c r="K935" t="s">
        <v>4206</v>
      </c>
      <c r="L935">
        <v>22311</v>
      </c>
      <c r="M935" t="s">
        <v>1103</v>
      </c>
    </row>
    <row r="936" spans="1:13" ht="15" x14ac:dyDescent="0.25">
      <c r="A936" t="s">
        <v>403</v>
      </c>
      <c r="B936" t="s">
        <v>11</v>
      </c>
      <c r="C936" t="s">
        <v>12</v>
      </c>
      <c r="D936" t="s">
        <v>29</v>
      </c>
      <c r="E936" t="s">
        <v>30</v>
      </c>
      <c r="F936" t="s">
        <v>31</v>
      </c>
      <c r="G936" t="s">
        <v>399</v>
      </c>
      <c r="H936" t="s">
        <v>400</v>
      </c>
      <c r="I936" t="s">
        <v>401</v>
      </c>
      <c r="J936"/>
      <c r="K936" t="s">
        <v>4207</v>
      </c>
      <c r="L936">
        <v>6474309</v>
      </c>
      <c r="M936" t="s">
        <v>779</v>
      </c>
    </row>
    <row r="937" spans="1:13" ht="15" x14ac:dyDescent="0.25">
      <c r="A937" t="s">
        <v>1267</v>
      </c>
      <c r="B937" t="s">
        <v>11</v>
      </c>
      <c r="C937" t="s">
        <v>12</v>
      </c>
      <c r="D937" t="s">
        <v>29</v>
      </c>
      <c r="E937" t="s">
        <v>30</v>
      </c>
      <c r="F937" t="s">
        <v>31</v>
      </c>
      <c r="G937" t="s">
        <v>399</v>
      </c>
      <c r="H937" t="s">
        <v>400</v>
      </c>
      <c r="I937" t="s">
        <v>401</v>
      </c>
      <c r="J937"/>
      <c r="K937" t="s">
        <v>4208</v>
      </c>
      <c r="L937">
        <v>25799026</v>
      </c>
      <c r="M937" t="s">
        <v>779</v>
      </c>
    </row>
    <row r="938" spans="1:13" ht="15" x14ac:dyDescent="0.25">
      <c r="A938" t="s">
        <v>1611</v>
      </c>
      <c r="B938" t="s">
        <v>11</v>
      </c>
      <c r="C938" t="s">
        <v>12</v>
      </c>
      <c r="D938" t="s">
        <v>111</v>
      </c>
      <c r="E938" t="s">
        <v>120</v>
      </c>
      <c r="F938" t="s">
        <v>121</v>
      </c>
      <c r="G938" t="s">
        <v>122</v>
      </c>
      <c r="H938" t="s">
        <v>123</v>
      </c>
      <c r="I938"/>
      <c r="J938"/>
      <c r="K938" t="s">
        <v>4209</v>
      </c>
      <c r="L938">
        <v>122850</v>
      </c>
      <c r="M938" t="s">
        <v>2009</v>
      </c>
    </row>
    <row r="939" spans="1:13" ht="15" x14ac:dyDescent="0.25">
      <c r="A939" t="s">
        <v>2230</v>
      </c>
      <c r="B939" t="s">
        <v>11</v>
      </c>
      <c r="C939" t="s">
        <v>12</v>
      </c>
      <c r="D939" t="s">
        <v>24</v>
      </c>
      <c r="E939" t="s">
        <v>54</v>
      </c>
      <c r="F939" t="s">
        <v>60</v>
      </c>
      <c r="G939" t="s">
        <v>2195</v>
      </c>
      <c r="H939"/>
      <c r="I939"/>
      <c r="J939"/>
      <c r="K939" t="s">
        <v>4210</v>
      </c>
      <c r="L939">
        <v>117587576</v>
      </c>
      <c r="M939" t="s">
        <v>2316</v>
      </c>
    </row>
    <row r="940" spans="1:13" ht="15" x14ac:dyDescent="0.25">
      <c r="A940" t="s">
        <v>2194</v>
      </c>
      <c r="B940" t="s">
        <v>11</v>
      </c>
      <c r="C940" t="s">
        <v>12</v>
      </c>
      <c r="D940" t="s">
        <v>24</v>
      </c>
      <c r="E940" t="s">
        <v>54</v>
      </c>
      <c r="F940" t="s">
        <v>60</v>
      </c>
      <c r="G940" t="s">
        <v>2195</v>
      </c>
      <c r="H940"/>
      <c r="I940"/>
      <c r="J940"/>
      <c r="K940" t="s">
        <v>4211</v>
      </c>
      <c r="L940">
        <v>45114377</v>
      </c>
      <c r="M940" t="s">
        <v>2316</v>
      </c>
    </row>
    <row r="941" spans="1:13" ht="15" x14ac:dyDescent="0.25">
      <c r="A941" t="s">
        <v>2229</v>
      </c>
      <c r="B941" t="s">
        <v>11</v>
      </c>
      <c r="C941" t="s">
        <v>12</v>
      </c>
      <c r="D941" t="s">
        <v>24</v>
      </c>
      <c r="E941" t="s">
        <v>54</v>
      </c>
      <c r="F941" t="s">
        <v>60</v>
      </c>
      <c r="G941" t="s">
        <v>2195</v>
      </c>
      <c r="H941"/>
      <c r="I941"/>
      <c r="J941"/>
      <c r="K941" t="s">
        <v>4212</v>
      </c>
      <c r="L941">
        <v>5358645</v>
      </c>
      <c r="M941" t="s">
        <v>2316</v>
      </c>
    </row>
    <row r="942" spans="1:13" ht="15" x14ac:dyDescent="0.25">
      <c r="A942" t="s">
        <v>2196</v>
      </c>
      <c r="B942" t="s">
        <v>11</v>
      </c>
      <c r="C942" t="s">
        <v>12</v>
      </c>
      <c r="D942" t="s">
        <v>24</v>
      </c>
      <c r="E942" t="s">
        <v>54</v>
      </c>
      <c r="F942" t="s">
        <v>60</v>
      </c>
      <c r="G942" t="s">
        <v>2195</v>
      </c>
      <c r="H942"/>
      <c r="I942"/>
      <c r="J942"/>
      <c r="K942" t="s">
        <v>4213</v>
      </c>
      <c r="L942">
        <v>5874733</v>
      </c>
      <c r="M942" t="s">
        <v>2316</v>
      </c>
    </row>
    <row r="943" spans="1:13" ht="15" x14ac:dyDescent="0.25">
      <c r="A943" t="s">
        <v>655</v>
      </c>
      <c r="B943" t="s">
        <v>11</v>
      </c>
      <c r="C943" t="s">
        <v>12</v>
      </c>
      <c r="D943" t="s">
        <v>24</v>
      </c>
      <c r="E943" t="s">
        <v>25</v>
      </c>
      <c r="F943" t="s">
        <v>504</v>
      </c>
      <c r="G943" t="s">
        <v>504</v>
      </c>
      <c r="H943"/>
      <c r="I943"/>
      <c r="J943"/>
      <c r="K943" t="s">
        <v>4214</v>
      </c>
      <c r="L943">
        <v>5280934</v>
      </c>
      <c r="M943" t="s">
        <v>853</v>
      </c>
    </row>
    <row r="944" spans="1:13" ht="15" x14ac:dyDescent="0.25">
      <c r="A944" t="s">
        <v>1696</v>
      </c>
      <c r="B944" t="s">
        <v>11</v>
      </c>
      <c r="C944" t="s">
        <v>12</v>
      </c>
      <c r="D944" t="s">
        <v>111</v>
      </c>
      <c r="E944" t="s">
        <v>120</v>
      </c>
      <c r="F944" t="s">
        <v>1592</v>
      </c>
      <c r="G944" t="s">
        <v>1598</v>
      </c>
      <c r="H944"/>
      <c r="I944"/>
      <c r="J944"/>
      <c r="K944" t="s">
        <v>4215</v>
      </c>
      <c r="L944">
        <v>3083788</v>
      </c>
      <c r="M944" t="s">
        <v>2043</v>
      </c>
    </row>
    <row r="945" spans="1:13" ht="15" x14ac:dyDescent="0.25">
      <c r="A945" t="s">
        <v>1929</v>
      </c>
      <c r="B945" t="s">
        <v>11</v>
      </c>
      <c r="C945" t="s">
        <v>12</v>
      </c>
      <c r="D945" t="s">
        <v>24</v>
      </c>
      <c r="E945" t="s">
        <v>94</v>
      </c>
      <c r="F945" t="s">
        <v>1930</v>
      </c>
      <c r="G945" t="s">
        <v>1931</v>
      </c>
      <c r="H945"/>
      <c r="I945"/>
      <c r="J945"/>
      <c r="K945" t="s">
        <v>4216</v>
      </c>
      <c r="L945">
        <v>173183</v>
      </c>
      <c r="M945" t="s">
        <v>2928</v>
      </c>
    </row>
    <row r="946" spans="1:13" ht="15" x14ac:dyDescent="0.25">
      <c r="A946" t="s">
        <v>93</v>
      </c>
      <c r="B946" t="s">
        <v>11</v>
      </c>
      <c r="C946" t="s">
        <v>12</v>
      </c>
      <c r="D946" t="s">
        <v>24</v>
      </c>
      <c r="E946" t="s">
        <v>94</v>
      </c>
      <c r="F946" t="s">
        <v>95</v>
      </c>
      <c r="G946" t="s">
        <v>95</v>
      </c>
      <c r="H946"/>
      <c r="I946"/>
      <c r="J946"/>
      <c r="K946" t="s">
        <v>4217</v>
      </c>
      <c r="L946">
        <v>5280794</v>
      </c>
      <c r="M946" t="s">
        <v>2929</v>
      </c>
    </row>
    <row r="947" spans="1:13" ht="15" x14ac:dyDescent="0.25">
      <c r="A947" t="s">
        <v>466</v>
      </c>
      <c r="B947" t="s">
        <v>11</v>
      </c>
      <c r="C947" t="s">
        <v>12</v>
      </c>
      <c r="D947" t="s">
        <v>24</v>
      </c>
      <c r="E947" t="s">
        <v>54</v>
      </c>
      <c r="F947" t="s">
        <v>463</v>
      </c>
      <c r="G947" t="s">
        <v>464</v>
      </c>
      <c r="H947" t="s">
        <v>465</v>
      </c>
      <c r="I947"/>
      <c r="J947"/>
      <c r="K947" t="s">
        <v>4218</v>
      </c>
      <c r="L947">
        <v>14985</v>
      </c>
      <c r="M947" t="s">
        <v>2930</v>
      </c>
    </row>
    <row r="948" spans="1:13" ht="15" x14ac:dyDescent="0.25">
      <c r="A948" t="s">
        <v>462</v>
      </c>
      <c r="B948" t="s">
        <v>11</v>
      </c>
      <c r="C948" t="s">
        <v>12</v>
      </c>
      <c r="D948" t="s">
        <v>24</v>
      </c>
      <c r="E948" t="s">
        <v>54</v>
      </c>
      <c r="F948" t="s">
        <v>463</v>
      </c>
      <c r="G948" t="s">
        <v>464</v>
      </c>
      <c r="H948" t="s">
        <v>465</v>
      </c>
      <c r="I948"/>
      <c r="J948"/>
      <c r="K948" t="s">
        <v>4219</v>
      </c>
      <c r="L948">
        <v>2116</v>
      </c>
      <c r="M948" t="s">
        <v>2930</v>
      </c>
    </row>
    <row r="949" spans="1:13" ht="15" x14ac:dyDescent="0.25">
      <c r="A949" t="s">
        <v>1883</v>
      </c>
      <c r="B949" t="s">
        <v>11</v>
      </c>
      <c r="C949" t="s">
        <v>12</v>
      </c>
      <c r="D949" t="s">
        <v>36</v>
      </c>
      <c r="E949" t="s">
        <v>44</v>
      </c>
      <c r="F949" t="s">
        <v>370</v>
      </c>
      <c r="G949" t="s">
        <v>398</v>
      </c>
      <c r="H949"/>
      <c r="I949"/>
      <c r="J949"/>
      <c r="K949" t="s">
        <v>4220</v>
      </c>
      <c r="L949">
        <v>7470</v>
      </c>
      <c r="M949" t="s">
        <v>2931</v>
      </c>
    </row>
    <row r="950" spans="1:13" ht="15" x14ac:dyDescent="0.25">
      <c r="A950" t="s">
        <v>307</v>
      </c>
      <c r="B950" t="s">
        <v>11</v>
      </c>
      <c r="C950" t="s">
        <v>12</v>
      </c>
      <c r="D950" t="s">
        <v>111</v>
      </c>
      <c r="E950" t="s">
        <v>120</v>
      </c>
      <c r="F950" t="s">
        <v>308</v>
      </c>
      <c r="G950" t="s">
        <v>309</v>
      </c>
      <c r="H950" t="s">
        <v>310</v>
      </c>
      <c r="I950"/>
      <c r="J950"/>
      <c r="K950" t="s">
        <v>4221</v>
      </c>
      <c r="L950">
        <v>25203368</v>
      </c>
      <c r="M950" t="s">
        <v>762</v>
      </c>
    </row>
    <row r="951" spans="1:13" ht="15" x14ac:dyDescent="0.25">
      <c r="A951" t="s">
        <v>1029</v>
      </c>
      <c r="B951" t="s">
        <v>11</v>
      </c>
      <c r="C951" t="s">
        <v>12</v>
      </c>
      <c r="D951" t="s">
        <v>111</v>
      </c>
      <c r="E951" t="s">
        <v>1024</v>
      </c>
      <c r="F951" t="s">
        <v>1025</v>
      </c>
      <c r="G951" t="s">
        <v>1028</v>
      </c>
      <c r="H951"/>
      <c r="I951"/>
      <c r="J951"/>
      <c r="K951" t="s">
        <v>4222</v>
      </c>
      <c r="L951">
        <v>638278</v>
      </c>
      <c r="M951" t="s">
        <v>2932</v>
      </c>
    </row>
    <row r="952" spans="1:13" ht="15" x14ac:dyDescent="0.25">
      <c r="A952" t="s">
        <v>1703</v>
      </c>
      <c r="B952" t="s">
        <v>11</v>
      </c>
      <c r="C952" t="s">
        <v>12</v>
      </c>
      <c r="D952" t="s">
        <v>111</v>
      </c>
      <c r="E952" t="s">
        <v>1071</v>
      </c>
      <c r="F952" t="s">
        <v>1590</v>
      </c>
      <c r="G952" t="s">
        <v>1699</v>
      </c>
      <c r="H952" t="s">
        <v>1704</v>
      </c>
      <c r="I952"/>
      <c r="J952"/>
      <c r="K952" t="s">
        <v>4223</v>
      </c>
      <c r="L952">
        <v>3764</v>
      </c>
      <c r="M952" t="s">
        <v>2046</v>
      </c>
    </row>
    <row r="953" spans="1:13" ht="15" x14ac:dyDescent="0.25">
      <c r="A953" t="s">
        <v>2150</v>
      </c>
      <c r="B953" t="s">
        <v>11</v>
      </c>
      <c r="C953" t="s">
        <v>12</v>
      </c>
      <c r="D953" t="s">
        <v>36</v>
      </c>
      <c r="E953" t="s">
        <v>44</v>
      </c>
      <c r="F953" t="s">
        <v>137</v>
      </c>
      <c r="G953" t="s">
        <v>137</v>
      </c>
      <c r="H953"/>
      <c r="I953"/>
      <c r="J953"/>
      <c r="K953" t="s">
        <v>4224</v>
      </c>
      <c r="L953">
        <v>636850</v>
      </c>
      <c r="M953" t="s">
        <v>2299</v>
      </c>
    </row>
    <row r="954" spans="1:13" ht="15" x14ac:dyDescent="0.25">
      <c r="A954" t="s">
        <v>2424</v>
      </c>
      <c r="B954" t="s">
        <v>11</v>
      </c>
      <c r="C954" t="s">
        <v>12</v>
      </c>
      <c r="D954" t="s">
        <v>111</v>
      </c>
      <c r="E954" t="s">
        <v>1024</v>
      </c>
      <c r="F954" t="s">
        <v>1025</v>
      </c>
      <c r="G954" t="s">
        <v>2486</v>
      </c>
      <c r="H954"/>
      <c r="I954"/>
      <c r="J954"/>
      <c r="K954" t="s">
        <v>4225</v>
      </c>
      <c r="L954">
        <v>44566750</v>
      </c>
      <c r="M954" t="s">
        <v>2933</v>
      </c>
    </row>
    <row r="955" spans="1:13" ht="15" x14ac:dyDescent="0.25">
      <c r="A955" t="s">
        <v>1043</v>
      </c>
      <c r="B955" t="s">
        <v>11</v>
      </c>
      <c r="C955" t="s">
        <v>12</v>
      </c>
      <c r="D955" t="s">
        <v>24</v>
      </c>
      <c r="E955" t="s">
        <v>54</v>
      </c>
      <c r="F955" t="s">
        <v>55</v>
      </c>
      <c r="G955" t="s">
        <v>56</v>
      </c>
      <c r="H955"/>
      <c r="I955"/>
      <c r="J955"/>
      <c r="K955" t="s">
        <v>4226</v>
      </c>
      <c r="L955">
        <v>5352099</v>
      </c>
      <c r="M955" t="s">
        <v>2934</v>
      </c>
    </row>
    <row r="956" spans="1:13" ht="15" x14ac:dyDescent="0.25">
      <c r="A956" t="s">
        <v>2152</v>
      </c>
      <c r="B956" t="s">
        <v>11</v>
      </c>
      <c r="C956" t="s">
        <v>12</v>
      </c>
      <c r="D956" t="s">
        <v>24</v>
      </c>
      <c r="E956" t="s">
        <v>54</v>
      </c>
      <c r="F956" t="s">
        <v>55</v>
      </c>
      <c r="G956" t="s">
        <v>56</v>
      </c>
      <c r="H956"/>
      <c r="I956"/>
      <c r="J956"/>
      <c r="K956" t="s">
        <v>4227</v>
      </c>
      <c r="L956">
        <v>5469793</v>
      </c>
      <c r="M956" t="s">
        <v>2301</v>
      </c>
    </row>
    <row r="957" spans="1:13" ht="15" x14ac:dyDescent="0.25">
      <c r="A957" t="s">
        <v>1367</v>
      </c>
      <c r="B957" t="s">
        <v>11</v>
      </c>
      <c r="C957" t="s">
        <v>12</v>
      </c>
      <c r="D957" t="s">
        <v>24</v>
      </c>
      <c r="E957" t="s">
        <v>54</v>
      </c>
      <c r="F957" t="s">
        <v>60</v>
      </c>
      <c r="G957" t="s">
        <v>60</v>
      </c>
      <c r="H957"/>
      <c r="I957"/>
      <c r="J957"/>
      <c r="K957" t="s">
        <v>4228</v>
      </c>
      <c r="L957">
        <v>44583785</v>
      </c>
      <c r="M957" t="s">
        <v>2311</v>
      </c>
    </row>
    <row r="958" spans="1:13" ht="15" x14ac:dyDescent="0.25">
      <c r="A958" t="s">
        <v>2173</v>
      </c>
      <c r="B958" t="s">
        <v>11</v>
      </c>
      <c r="C958" t="s">
        <v>12</v>
      </c>
      <c r="D958" t="s">
        <v>24</v>
      </c>
      <c r="E958" t="s">
        <v>54</v>
      </c>
      <c r="F958" t="s">
        <v>60</v>
      </c>
      <c r="G958" t="s">
        <v>60</v>
      </c>
      <c r="H958"/>
      <c r="I958"/>
      <c r="J958"/>
      <c r="K958" t="s">
        <v>4229</v>
      </c>
      <c r="L958">
        <v>5469792</v>
      </c>
      <c r="M958" t="s">
        <v>2311</v>
      </c>
    </row>
    <row r="959" spans="1:13" ht="15" x14ac:dyDescent="0.25">
      <c r="A959" t="s">
        <v>1328</v>
      </c>
      <c r="B959" t="s">
        <v>11</v>
      </c>
      <c r="C959" t="s">
        <v>12</v>
      </c>
      <c r="D959" t="s">
        <v>24</v>
      </c>
      <c r="E959" t="s">
        <v>54</v>
      </c>
      <c r="F959" t="s">
        <v>55</v>
      </c>
      <c r="G959" t="s">
        <v>97</v>
      </c>
      <c r="H959"/>
      <c r="I959"/>
      <c r="J959"/>
      <c r="K959" t="s">
        <v>4230</v>
      </c>
      <c r="L959">
        <v>519323</v>
      </c>
      <c r="M959" t="s">
        <v>1526</v>
      </c>
    </row>
    <row r="960" spans="1:13" ht="15" x14ac:dyDescent="0.25">
      <c r="A960" t="s">
        <v>984</v>
      </c>
      <c r="B960" t="s">
        <v>11</v>
      </c>
      <c r="C960" t="s">
        <v>12</v>
      </c>
      <c r="D960" t="s">
        <v>24</v>
      </c>
      <c r="E960" t="s">
        <v>54</v>
      </c>
      <c r="F960" t="s">
        <v>55</v>
      </c>
      <c r="G960" t="s">
        <v>97</v>
      </c>
      <c r="H960"/>
      <c r="I960"/>
      <c r="J960"/>
      <c r="K960" t="s">
        <v>4231</v>
      </c>
      <c r="L960">
        <v>11230</v>
      </c>
      <c r="M960" t="s">
        <v>2935</v>
      </c>
    </row>
    <row r="961" spans="1:13" ht="15" x14ac:dyDescent="0.25">
      <c r="A961" t="s">
        <v>2162</v>
      </c>
      <c r="B961" t="s">
        <v>11</v>
      </c>
      <c r="C961" t="s">
        <v>12</v>
      </c>
      <c r="D961" t="s">
        <v>24</v>
      </c>
      <c r="E961" t="s">
        <v>54</v>
      </c>
      <c r="F961" t="s">
        <v>55</v>
      </c>
      <c r="G961" t="s">
        <v>184</v>
      </c>
      <c r="H961"/>
      <c r="I961"/>
      <c r="J961"/>
      <c r="K961" t="s">
        <v>4232</v>
      </c>
      <c r="L961">
        <v>136330</v>
      </c>
      <c r="M961" t="s">
        <v>2303</v>
      </c>
    </row>
    <row r="962" spans="1:13" ht="15" x14ac:dyDescent="0.25">
      <c r="A962" t="s">
        <v>982</v>
      </c>
      <c r="B962" t="s">
        <v>11</v>
      </c>
      <c r="C962" t="s">
        <v>12</v>
      </c>
      <c r="D962" t="s">
        <v>24</v>
      </c>
      <c r="E962" t="s">
        <v>54</v>
      </c>
      <c r="F962" t="s">
        <v>60</v>
      </c>
      <c r="G962" t="s">
        <v>60</v>
      </c>
      <c r="H962"/>
      <c r="I962"/>
      <c r="J962"/>
      <c r="K962" t="s">
        <v>4233</v>
      </c>
      <c r="L962">
        <v>51351709</v>
      </c>
      <c r="M962" t="s">
        <v>1118</v>
      </c>
    </row>
    <row r="963" spans="1:13" ht="15" x14ac:dyDescent="0.25">
      <c r="A963" t="s">
        <v>373</v>
      </c>
      <c r="B963" t="s">
        <v>11</v>
      </c>
      <c r="C963" t="s">
        <v>12</v>
      </c>
      <c r="D963" t="s">
        <v>24</v>
      </c>
      <c r="E963" t="s">
        <v>54</v>
      </c>
      <c r="F963" t="s">
        <v>60</v>
      </c>
      <c r="G963" t="s">
        <v>60</v>
      </c>
      <c r="H963"/>
      <c r="I963"/>
      <c r="J963"/>
      <c r="K963" t="s">
        <v>4234</v>
      </c>
      <c r="L963">
        <v>10798255</v>
      </c>
      <c r="M963" t="s">
        <v>771</v>
      </c>
    </row>
    <row r="964" spans="1:13" ht="15" x14ac:dyDescent="0.25">
      <c r="A964" t="s">
        <v>2227</v>
      </c>
      <c r="B964" t="s">
        <v>11</v>
      </c>
      <c r="C964" t="s">
        <v>12</v>
      </c>
      <c r="D964" t="s">
        <v>24</v>
      </c>
      <c r="E964" t="s">
        <v>54</v>
      </c>
      <c r="F964" t="s">
        <v>60</v>
      </c>
      <c r="G964" t="s">
        <v>60</v>
      </c>
      <c r="H964"/>
      <c r="I964"/>
      <c r="J964"/>
      <c r="K964" t="s">
        <v>4235</v>
      </c>
      <c r="L964">
        <v>91747125</v>
      </c>
      <c r="M964" t="s">
        <v>2326</v>
      </c>
    </row>
    <row r="965" spans="1:13" ht="15" x14ac:dyDescent="0.25">
      <c r="A965" t="s">
        <v>2198</v>
      </c>
      <c r="B965" t="s">
        <v>11</v>
      </c>
      <c r="C965" t="s">
        <v>12</v>
      </c>
      <c r="D965" t="s">
        <v>24</v>
      </c>
      <c r="E965" t="s">
        <v>54</v>
      </c>
      <c r="F965" t="s">
        <v>60</v>
      </c>
      <c r="G965" t="s">
        <v>931</v>
      </c>
      <c r="H965"/>
      <c r="I965"/>
      <c r="J965"/>
      <c r="K965" t="s">
        <v>4236</v>
      </c>
      <c r="L965">
        <v>42608172</v>
      </c>
      <c r="M965" t="s">
        <v>2317</v>
      </c>
    </row>
    <row r="966" spans="1:13" ht="15" x14ac:dyDescent="0.25">
      <c r="A966" t="s">
        <v>2246</v>
      </c>
      <c r="B966" t="s">
        <v>11</v>
      </c>
      <c r="C966" t="s">
        <v>12</v>
      </c>
      <c r="D966" t="s">
        <v>24</v>
      </c>
      <c r="E966" t="s">
        <v>54</v>
      </c>
      <c r="F966" t="s">
        <v>60</v>
      </c>
      <c r="G966" t="s">
        <v>977</v>
      </c>
      <c r="H966"/>
      <c r="I966"/>
      <c r="J966"/>
      <c r="K966" t="s">
        <v>4237</v>
      </c>
      <c r="L966">
        <v>6713078</v>
      </c>
      <c r="M966" t="s">
        <v>2936</v>
      </c>
    </row>
    <row r="967" spans="1:13" ht="15" x14ac:dyDescent="0.25">
      <c r="A967" t="s">
        <v>1480</v>
      </c>
      <c r="B967" t="s">
        <v>11</v>
      </c>
      <c r="C967" t="s">
        <v>12</v>
      </c>
      <c r="D967" t="s">
        <v>36</v>
      </c>
      <c r="E967" t="s">
        <v>480</v>
      </c>
      <c r="F967" t="s">
        <v>481</v>
      </c>
      <c r="G967" t="s">
        <v>481</v>
      </c>
      <c r="H967"/>
      <c r="I967"/>
      <c r="J967"/>
      <c r="K967" t="s">
        <v>4238</v>
      </c>
      <c r="L967">
        <v>8815</v>
      </c>
      <c r="M967" t="s">
        <v>2937</v>
      </c>
    </row>
    <row r="968" spans="1:13" ht="15" x14ac:dyDescent="0.25">
      <c r="A968" t="s">
        <v>1824</v>
      </c>
      <c r="B968" t="s">
        <v>11</v>
      </c>
      <c r="C968" t="s">
        <v>12</v>
      </c>
      <c r="D968" t="s">
        <v>36</v>
      </c>
      <c r="E968" t="s">
        <v>44</v>
      </c>
      <c r="F968" t="s">
        <v>139</v>
      </c>
      <c r="G968" t="s">
        <v>140</v>
      </c>
      <c r="H968"/>
      <c r="I968"/>
      <c r="J968"/>
      <c r="K968" t="s">
        <v>4239</v>
      </c>
      <c r="L968">
        <v>7127</v>
      </c>
      <c r="M968" t="s">
        <v>2938</v>
      </c>
    </row>
    <row r="969" spans="1:13" ht="15" x14ac:dyDescent="0.25">
      <c r="A969" t="s">
        <v>1838</v>
      </c>
      <c r="B969" t="s">
        <v>11</v>
      </c>
      <c r="C969" t="s">
        <v>12</v>
      </c>
      <c r="D969" t="s">
        <v>36</v>
      </c>
      <c r="E969" t="s">
        <v>480</v>
      </c>
      <c r="F969" t="s">
        <v>481</v>
      </c>
      <c r="G969" t="s">
        <v>481</v>
      </c>
      <c r="H969"/>
      <c r="I969"/>
      <c r="J969"/>
      <c r="K969" t="s">
        <v>4240</v>
      </c>
      <c r="L969">
        <v>10248</v>
      </c>
      <c r="M969" t="s">
        <v>2089</v>
      </c>
    </row>
    <row r="970" spans="1:13" ht="15" x14ac:dyDescent="0.25">
      <c r="A970" t="s">
        <v>1817</v>
      </c>
      <c r="B970" t="s">
        <v>11</v>
      </c>
      <c r="C970" t="s">
        <v>12</v>
      </c>
      <c r="D970" t="s">
        <v>36</v>
      </c>
      <c r="E970" t="s">
        <v>37</v>
      </c>
      <c r="F970" t="s">
        <v>38</v>
      </c>
      <c r="G970" t="s">
        <v>38</v>
      </c>
      <c r="H970"/>
      <c r="I970"/>
      <c r="J970"/>
      <c r="K970" t="s">
        <v>4241</v>
      </c>
      <c r="L970">
        <v>9007</v>
      </c>
      <c r="M970" t="s">
        <v>2939</v>
      </c>
    </row>
    <row r="971" spans="1:13" ht="15" x14ac:dyDescent="0.25">
      <c r="A971" t="s">
        <v>1878</v>
      </c>
      <c r="B971" t="s">
        <v>11</v>
      </c>
      <c r="C971" t="s">
        <v>12</v>
      </c>
      <c r="D971" t="s">
        <v>111</v>
      </c>
      <c r="E971" t="s">
        <v>1071</v>
      </c>
      <c r="F971" t="s">
        <v>1879</v>
      </c>
      <c r="G971" t="s">
        <v>1880</v>
      </c>
      <c r="H971"/>
      <c r="I971"/>
      <c r="J971"/>
      <c r="K971" t="s">
        <v>4242</v>
      </c>
      <c r="L971">
        <v>181994</v>
      </c>
      <c r="M971" t="s">
        <v>2107</v>
      </c>
    </row>
    <row r="972" spans="1:13" ht="15" x14ac:dyDescent="0.25">
      <c r="A972" t="s">
        <v>1456</v>
      </c>
      <c r="B972" t="s">
        <v>11</v>
      </c>
      <c r="C972" t="s">
        <v>12</v>
      </c>
      <c r="D972" t="s">
        <v>111</v>
      </c>
      <c r="E972" t="s">
        <v>1457</v>
      </c>
      <c r="F972"/>
      <c r="G972" t="s">
        <v>1457</v>
      </c>
      <c r="H972"/>
      <c r="I972"/>
      <c r="J972"/>
      <c r="K972" t="s">
        <v>4243</v>
      </c>
      <c r="L972">
        <v>10829</v>
      </c>
      <c r="M972" t="s">
        <v>1562</v>
      </c>
    </row>
    <row r="973" spans="1:13" ht="15" x14ac:dyDescent="0.25">
      <c r="A973" t="s">
        <v>1717</v>
      </c>
      <c r="B973" t="s">
        <v>11</v>
      </c>
      <c r="C973" t="s">
        <v>12</v>
      </c>
      <c r="D973" t="s">
        <v>111</v>
      </c>
      <c r="E973" t="s">
        <v>1071</v>
      </c>
      <c r="F973" t="s">
        <v>1590</v>
      </c>
      <c r="G973" t="s">
        <v>1699</v>
      </c>
      <c r="H973"/>
      <c r="I973"/>
      <c r="J973"/>
      <c r="K973" t="s">
        <v>4244</v>
      </c>
      <c r="L973">
        <v>44446856</v>
      </c>
      <c r="M973" t="s">
        <v>2940</v>
      </c>
    </row>
    <row r="974" spans="1:13" ht="15" x14ac:dyDescent="0.25">
      <c r="A974" t="s">
        <v>1869</v>
      </c>
      <c r="B974" t="s">
        <v>11</v>
      </c>
      <c r="C974" t="s">
        <v>12</v>
      </c>
      <c r="D974" t="s">
        <v>111</v>
      </c>
      <c r="E974" t="s">
        <v>120</v>
      </c>
      <c r="F974" t="s">
        <v>308</v>
      </c>
      <c r="G974" t="s">
        <v>348</v>
      </c>
      <c r="H974" t="s">
        <v>349</v>
      </c>
      <c r="I974"/>
      <c r="J974"/>
      <c r="K974" t="s">
        <v>4245</v>
      </c>
      <c r="L974">
        <v>442665</v>
      </c>
      <c r="M974" t="s">
        <v>2101</v>
      </c>
    </row>
    <row r="975" spans="1:13" ht="15" x14ac:dyDescent="0.25">
      <c r="A975" t="s">
        <v>1683</v>
      </c>
      <c r="B975" t="s">
        <v>11</v>
      </c>
      <c r="C975" t="s">
        <v>12</v>
      </c>
      <c r="D975" t="s">
        <v>111</v>
      </c>
      <c r="E975" t="s">
        <v>120</v>
      </c>
      <c r="F975" t="s">
        <v>308</v>
      </c>
      <c r="G975" t="s">
        <v>309</v>
      </c>
      <c r="H975"/>
      <c r="I975"/>
      <c r="J975"/>
      <c r="K975" t="s">
        <v>4246</v>
      </c>
      <c r="L975">
        <v>56843093</v>
      </c>
      <c r="M975" t="s">
        <v>2037</v>
      </c>
    </row>
    <row r="976" spans="1:13" ht="15" x14ac:dyDescent="0.25">
      <c r="A976" t="s">
        <v>405</v>
      </c>
      <c r="B976" t="s">
        <v>11</v>
      </c>
      <c r="C976" t="s">
        <v>12</v>
      </c>
      <c r="D976" t="s">
        <v>29</v>
      </c>
      <c r="E976" t="s">
        <v>30</v>
      </c>
      <c r="F976" t="s">
        <v>31</v>
      </c>
      <c r="G976" t="s">
        <v>399</v>
      </c>
      <c r="H976" t="s">
        <v>400</v>
      </c>
      <c r="I976" t="s">
        <v>401</v>
      </c>
      <c r="J976"/>
      <c r="K976" t="s">
        <v>4247</v>
      </c>
      <c r="L976">
        <v>5281780</v>
      </c>
      <c r="M976" t="s">
        <v>2941</v>
      </c>
    </row>
    <row r="977" spans="1:13" ht="15" x14ac:dyDescent="0.25">
      <c r="A977" t="s">
        <v>303</v>
      </c>
      <c r="B977" t="s">
        <v>11</v>
      </c>
      <c r="C977" t="s">
        <v>12</v>
      </c>
      <c r="D977" t="s">
        <v>111</v>
      </c>
      <c r="E977" t="s">
        <v>304</v>
      </c>
      <c r="F977" t="s">
        <v>305</v>
      </c>
      <c r="G977" t="s">
        <v>306</v>
      </c>
      <c r="H977"/>
      <c r="I977"/>
      <c r="J977"/>
      <c r="K977" t="s">
        <v>3292</v>
      </c>
      <c r="L977">
        <v>54708745</v>
      </c>
      <c r="M977" t="s">
        <v>2942</v>
      </c>
    </row>
    <row r="978" spans="1:13" ht="15" x14ac:dyDescent="0.25">
      <c r="A978" t="s">
        <v>1617</v>
      </c>
      <c r="B978" t="s">
        <v>11</v>
      </c>
      <c r="C978" t="s">
        <v>12</v>
      </c>
      <c r="D978" t="s">
        <v>111</v>
      </c>
      <c r="E978" t="s">
        <v>120</v>
      </c>
      <c r="F978" t="s">
        <v>121</v>
      </c>
      <c r="G978" t="s">
        <v>122</v>
      </c>
      <c r="H978"/>
      <c r="I978"/>
      <c r="J978"/>
      <c r="K978" t="s">
        <v>4248</v>
      </c>
      <c r="L978">
        <v>667544</v>
      </c>
      <c r="M978" t="s">
        <v>2943</v>
      </c>
    </row>
    <row r="979" spans="1:13" ht="15" x14ac:dyDescent="0.25">
      <c r="A979" t="s">
        <v>1800</v>
      </c>
      <c r="B979" t="s">
        <v>11</v>
      </c>
      <c r="C979" t="s">
        <v>12</v>
      </c>
      <c r="D979" t="s">
        <v>111</v>
      </c>
      <c r="E979" t="s">
        <v>304</v>
      </c>
      <c r="F979" t="s">
        <v>305</v>
      </c>
      <c r="G979" t="s">
        <v>306</v>
      </c>
      <c r="H979"/>
      <c r="I979"/>
      <c r="J979"/>
      <c r="K979" t="s">
        <v>4249</v>
      </c>
      <c r="L979">
        <v>1548883</v>
      </c>
      <c r="M979" t="s">
        <v>2077</v>
      </c>
    </row>
    <row r="980" spans="1:13" ht="15" x14ac:dyDescent="0.25">
      <c r="A980" t="s">
        <v>1584</v>
      </c>
      <c r="B980" t="s">
        <v>11</v>
      </c>
      <c r="C980" t="s">
        <v>12</v>
      </c>
      <c r="D980" t="s">
        <v>36</v>
      </c>
      <c r="E980" t="s">
        <v>44</v>
      </c>
      <c r="F980" t="s">
        <v>370</v>
      </c>
      <c r="G980" t="s">
        <v>1171</v>
      </c>
      <c r="H980" t="s">
        <v>1585</v>
      </c>
      <c r="I980"/>
      <c r="J980"/>
      <c r="K980" t="s">
        <v>4250</v>
      </c>
      <c r="L980">
        <v>7121</v>
      </c>
      <c r="M980" t="s">
        <v>2944</v>
      </c>
    </row>
    <row r="981" spans="1:13" ht="15" x14ac:dyDescent="0.25">
      <c r="A981" t="s">
        <v>2271</v>
      </c>
      <c r="B981" t="s">
        <v>11</v>
      </c>
      <c r="C981" t="s">
        <v>12</v>
      </c>
      <c r="D981" t="s">
        <v>24</v>
      </c>
      <c r="E981" t="s">
        <v>54</v>
      </c>
      <c r="F981" t="s">
        <v>986</v>
      </c>
      <c r="G981" t="s">
        <v>986</v>
      </c>
      <c r="H981"/>
      <c r="I981"/>
      <c r="J981"/>
      <c r="K981" t="s">
        <v>4251</v>
      </c>
      <c r="L981">
        <v>92157</v>
      </c>
      <c r="M981" t="s">
        <v>2339</v>
      </c>
    </row>
    <row r="982" spans="1:13" ht="15" x14ac:dyDescent="0.25">
      <c r="A982" t="s">
        <v>1826</v>
      </c>
      <c r="B982" t="s">
        <v>11</v>
      </c>
      <c r="C982" t="s">
        <v>12</v>
      </c>
      <c r="D982" t="s">
        <v>101</v>
      </c>
      <c r="E982" t="s">
        <v>142</v>
      </c>
      <c r="F982" t="s">
        <v>143</v>
      </c>
      <c r="G982" t="s">
        <v>144</v>
      </c>
      <c r="H982"/>
      <c r="I982"/>
      <c r="J982"/>
      <c r="K982" t="s">
        <v>4252</v>
      </c>
      <c r="L982">
        <v>53916933</v>
      </c>
      <c r="M982" t="s">
        <v>2945</v>
      </c>
    </row>
    <row r="983" spans="1:13" ht="15" x14ac:dyDescent="0.25">
      <c r="A983" t="s">
        <v>1033</v>
      </c>
      <c r="B983" t="s">
        <v>11</v>
      </c>
      <c r="C983" t="s">
        <v>12</v>
      </c>
      <c r="D983" t="s">
        <v>29</v>
      </c>
      <c r="E983" t="s">
        <v>30</v>
      </c>
      <c r="F983" t="s">
        <v>105</v>
      </c>
      <c r="G983" t="s">
        <v>106</v>
      </c>
      <c r="H983" t="s">
        <v>107</v>
      </c>
      <c r="I983" t="s">
        <v>108</v>
      </c>
      <c r="J983" t="s">
        <v>109</v>
      </c>
      <c r="K983" t="s">
        <v>4253</v>
      </c>
      <c r="L983">
        <v>91349177</v>
      </c>
      <c r="M983" t="s">
        <v>1138</v>
      </c>
    </row>
    <row r="984" spans="1:13" ht="15" x14ac:dyDescent="0.25">
      <c r="A984" t="s">
        <v>1834</v>
      </c>
      <c r="B984" t="s">
        <v>11</v>
      </c>
      <c r="C984" t="s">
        <v>12</v>
      </c>
      <c r="D984" t="s">
        <v>36</v>
      </c>
      <c r="E984" t="s">
        <v>37</v>
      </c>
      <c r="F984" t="s">
        <v>396</v>
      </c>
      <c r="G984" t="s">
        <v>396</v>
      </c>
      <c r="H984"/>
      <c r="I984"/>
      <c r="J984"/>
      <c r="K984" t="s">
        <v>4254</v>
      </c>
      <c r="L984">
        <v>6997</v>
      </c>
      <c r="M984" t="s">
        <v>2946</v>
      </c>
    </row>
    <row r="985" spans="1:13" ht="15" x14ac:dyDescent="0.25">
      <c r="A985" t="s">
        <v>898</v>
      </c>
      <c r="B985" t="s">
        <v>11</v>
      </c>
      <c r="C985" t="s">
        <v>12</v>
      </c>
      <c r="D985" t="s">
        <v>24</v>
      </c>
      <c r="E985" t="s">
        <v>54</v>
      </c>
      <c r="F985" t="s">
        <v>55</v>
      </c>
      <c r="G985" t="s">
        <v>97</v>
      </c>
      <c r="H985"/>
      <c r="I985"/>
      <c r="J985"/>
      <c r="K985" t="s">
        <v>4255</v>
      </c>
      <c r="L985">
        <v>17100</v>
      </c>
      <c r="M985" t="s">
        <v>2947</v>
      </c>
    </row>
    <row r="986" spans="1:13" ht="15" x14ac:dyDescent="0.25">
      <c r="A986" t="s">
        <v>1688</v>
      </c>
      <c r="B986" t="s">
        <v>11</v>
      </c>
      <c r="C986" t="s">
        <v>12</v>
      </c>
      <c r="D986" t="s">
        <v>36</v>
      </c>
      <c r="E986" t="s">
        <v>44</v>
      </c>
      <c r="F986" t="s">
        <v>370</v>
      </c>
      <c r="G986" t="s">
        <v>1171</v>
      </c>
      <c r="H986" t="s">
        <v>1585</v>
      </c>
      <c r="I986"/>
      <c r="J986"/>
      <c r="K986" t="s">
        <v>4256</v>
      </c>
      <c r="L986">
        <v>3783514</v>
      </c>
      <c r="M986" t="s">
        <v>2948</v>
      </c>
    </row>
    <row r="987" spans="1:13" ht="15" x14ac:dyDescent="0.25">
      <c r="A987" t="s">
        <v>929</v>
      </c>
      <c r="B987" t="s">
        <v>11</v>
      </c>
      <c r="C987" t="s">
        <v>12</v>
      </c>
      <c r="D987" t="s">
        <v>24</v>
      </c>
      <c r="E987" t="s">
        <v>54</v>
      </c>
      <c r="F987" t="s">
        <v>60</v>
      </c>
      <c r="G987" t="s">
        <v>60</v>
      </c>
      <c r="H987"/>
      <c r="I987"/>
      <c r="J987"/>
      <c r="K987" t="s">
        <v>4257</v>
      </c>
      <c r="L987">
        <v>5281520</v>
      </c>
      <c r="M987" t="s">
        <v>1106</v>
      </c>
    </row>
    <row r="988" spans="1:13" ht="15" x14ac:dyDescent="0.25">
      <c r="A988" t="s">
        <v>593</v>
      </c>
      <c r="B988" t="s">
        <v>11</v>
      </c>
      <c r="C988" t="s">
        <v>12</v>
      </c>
      <c r="D988" t="s">
        <v>24</v>
      </c>
      <c r="E988" t="s">
        <v>25</v>
      </c>
      <c r="F988" t="s">
        <v>489</v>
      </c>
      <c r="G988" t="s">
        <v>489</v>
      </c>
      <c r="H988"/>
      <c r="I988"/>
      <c r="J988"/>
      <c r="K988" t="s">
        <v>4258</v>
      </c>
      <c r="L988">
        <v>7643</v>
      </c>
      <c r="M988" t="s">
        <v>2949</v>
      </c>
    </row>
    <row r="989" spans="1:13" ht="15" x14ac:dyDescent="0.25">
      <c r="A989" t="s">
        <v>1207</v>
      </c>
      <c r="B989" t="s">
        <v>11</v>
      </c>
      <c r="C989" t="s">
        <v>12</v>
      </c>
      <c r="D989" t="s">
        <v>13</v>
      </c>
      <c r="E989" t="s">
        <v>14</v>
      </c>
      <c r="F989" t="s">
        <v>255</v>
      </c>
      <c r="G989" t="s">
        <v>256</v>
      </c>
      <c r="H989" t="s">
        <v>257</v>
      </c>
      <c r="I989" t="s">
        <v>285</v>
      </c>
      <c r="J989"/>
      <c r="K989" t="s">
        <v>4259</v>
      </c>
      <c r="L989">
        <v>146037598</v>
      </c>
      <c r="M989" t="s">
        <v>2950</v>
      </c>
    </row>
    <row r="990" spans="1:13" ht="15" x14ac:dyDescent="0.25">
      <c r="A990" t="s">
        <v>1753</v>
      </c>
      <c r="B990" t="s">
        <v>11</v>
      </c>
      <c r="C990" t="s">
        <v>12</v>
      </c>
      <c r="D990" t="s">
        <v>36</v>
      </c>
      <c r="E990" t="s">
        <v>44</v>
      </c>
      <c r="F990" t="s">
        <v>370</v>
      </c>
      <c r="G990" t="s">
        <v>391</v>
      </c>
      <c r="H990" t="s">
        <v>1754</v>
      </c>
      <c r="I990" t="s">
        <v>1755</v>
      </c>
      <c r="J990"/>
      <c r="K990" t="s">
        <v>4260</v>
      </c>
      <c r="L990">
        <v>7456</v>
      </c>
      <c r="M990" t="s">
        <v>2951</v>
      </c>
    </row>
    <row r="991" spans="1:13" ht="15" x14ac:dyDescent="0.25">
      <c r="A991" t="s">
        <v>1894</v>
      </c>
      <c r="B991" t="s">
        <v>11</v>
      </c>
      <c r="C991" t="s">
        <v>12</v>
      </c>
      <c r="D991" t="s">
        <v>36</v>
      </c>
      <c r="E991" t="s">
        <v>44</v>
      </c>
      <c r="F991" t="s">
        <v>370</v>
      </c>
      <c r="G991" t="s">
        <v>391</v>
      </c>
      <c r="H991" t="s">
        <v>1754</v>
      </c>
      <c r="I991" t="s">
        <v>1755</v>
      </c>
      <c r="J991"/>
      <c r="K991" t="s">
        <v>4261</v>
      </c>
      <c r="L991">
        <v>7175</v>
      </c>
      <c r="M991" t="s">
        <v>2952</v>
      </c>
    </row>
    <row r="992" spans="1:13" ht="15" x14ac:dyDescent="0.25">
      <c r="A992" t="s">
        <v>664</v>
      </c>
      <c r="B992" t="s">
        <v>11</v>
      </c>
      <c r="C992" t="s">
        <v>12</v>
      </c>
      <c r="D992" t="s">
        <v>24</v>
      </c>
      <c r="E992" t="s">
        <v>25</v>
      </c>
      <c r="F992" t="s">
        <v>489</v>
      </c>
      <c r="G992" t="s">
        <v>533</v>
      </c>
      <c r="H992" t="s">
        <v>534</v>
      </c>
      <c r="I992"/>
      <c r="J992"/>
      <c r="K992" t="s">
        <v>4262</v>
      </c>
      <c r="L992">
        <v>71330492</v>
      </c>
      <c r="M992" t="s">
        <v>855</v>
      </c>
    </row>
    <row r="993" spans="1:13" ht="15" x14ac:dyDescent="0.25">
      <c r="A993" t="s">
        <v>666</v>
      </c>
      <c r="B993" t="s">
        <v>11</v>
      </c>
      <c r="C993" t="s">
        <v>12</v>
      </c>
      <c r="D993" t="s">
        <v>24</v>
      </c>
      <c r="E993" t="s">
        <v>25</v>
      </c>
      <c r="F993" t="s">
        <v>489</v>
      </c>
      <c r="G993" t="s">
        <v>533</v>
      </c>
      <c r="H993" t="s">
        <v>534</v>
      </c>
      <c r="I993"/>
      <c r="J993"/>
      <c r="K993" t="s">
        <v>4263</v>
      </c>
      <c r="L993">
        <v>10258711</v>
      </c>
      <c r="M993" t="s">
        <v>2953</v>
      </c>
    </row>
    <row r="994" spans="1:13" ht="15" x14ac:dyDescent="0.25">
      <c r="A994" t="s">
        <v>1176</v>
      </c>
      <c r="B994" t="s">
        <v>11</v>
      </c>
      <c r="C994" t="s">
        <v>12</v>
      </c>
      <c r="D994" t="s">
        <v>24</v>
      </c>
      <c r="E994" t="s">
        <v>25</v>
      </c>
      <c r="F994" t="s">
        <v>489</v>
      </c>
      <c r="G994" t="s">
        <v>533</v>
      </c>
      <c r="H994" t="s">
        <v>534</v>
      </c>
      <c r="I994"/>
      <c r="J994"/>
      <c r="K994" t="s">
        <v>4264</v>
      </c>
      <c r="L994">
        <v>80126</v>
      </c>
      <c r="M994" t="s">
        <v>2954</v>
      </c>
    </row>
    <row r="995" spans="1:13" ht="15" x14ac:dyDescent="0.25">
      <c r="A995" t="s">
        <v>1177</v>
      </c>
      <c r="B995" t="s">
        <v>11</v>
      </c>
      <c r="C995" t="s">
        <v>12</v>
      </c>
      <c r="D995" t="s">
        <v>24</v>
      </c>
      <c r="E995" t="s">
        <v>25</v>
      </c>
      <c r="F995" t="s">
        <v>489</v>
      </c>
      <c r="G995" t="s">
        <v>533</v>
      </c>
      <c r="H995" t="s">
        <v>534</v>
      </c>
      <c r="I995"/>
      <c r="J995"/>
      <c r="K995" t="s">
        <v>4265</v>
      </c>
      <c r="L995">
        <v>13908813</v>
      </c>
      <c r="M995" t="s">
        <v>1239</v>
      </c>
    </row>
    <row r="996" spans="1:13" ht="15" x14ac:dyDescent="0.25">
      <c r="A996" t="s">
        <v>626</v>
      </c>
      <c r="B996" t="s">
        <v>11</v>
      </c>
      <c r="C996" t="s">
        <v>12</v>
      </c>
      <c r="D996" t="s">
        <v>24</v>
      </c>
      <c r="E996" t="s">
        <v>25</v>
      </c>
      <c r="F996" t="s">
        <v>489</v>
      </c>
      <c r="G996" t="s">
        <v>533</v>
      </c>
      <c r="H996" t="s">
        <v>534</v>
      </c>
      <c r="I996"/>
      <c r="J996"/>
      <c r="K996" t="s">
        <v>4266</v>
      </c>
      <c r="L996">
        <v>13908814</v>
      </c>
      <c r="M996" t="s">
        <v>843</v>
      </c>
    </row>
    <row r="997" spans="1:13" ht="15" x14ac:dyDescent="0.25">
      <c r="A997" t="s">
        <v>1577</v>
      </c>
      <c r="B997" t="s">
        <v>11</v>
      </c>
      <c r="C997" t="s">
        <v>12</v>
      </c>
      <c r="D997" t="s">
        <v>111</v>
      </c>
      <c r="E997" t="s">
        <v>437</v>
      </c>
      <c r="F997"/>
      <c r="G997" t="s">
        <v>437</v>
      </c>
      <c r="H997"/>
      <c r="I997"/>
      <c r="J997"/>
      <c r="K997" t="s">
        <v>4267</v>
      </c>
      <c r="L997">
        <v>14340</v>
      </c>
      <c r="M997" t="s">
        <v>2955</v>
      </c>
    </row>
    <row r="998" spans="1:13" ht="15" x14ac:dyDescent="0.25">
      <c r="A998" t="s">
        <v>1372</v>
      </c>
      <c r="B998" t="s">
        <v>11</v>
      </c>
      <c r="C998" t="s">
        <v>12</v>
      </c>
      <c r="D998" t="s">
        <v>111</v>
      </c>
      <c r="E998" t="s">
        <v>304</v>
      </c>
      <c r="F998" t="s">
        <v>305</v>
      </c>
      <c r="G998" t="s">
        <v>306</v>
      </c>
      <c r="H998"/>
      <c r="I998"/>
      <c r="J998"/>
      <c r="K998" t="s">
        <v>4268</v>
      </c>
      <c r="L998">
        <v>162625212</v>
      </c>
      <c r="M998" t="s">
        <v>1535</v>
      </c>
    </row>
    <row r="999" spans="1:13" ht="15" x14ac:dyDescent="0.25">
      <c r="A999" t="s">
        <v>35</v>
      </c>
      <c r="B999" t="s">
        <v>11</v>
      </c>
      <c r="C999" t="s">
        <v>12</v>
      </c>
      <c r="D999" t="s">
        <v>36</v>
      </c>
      <c r="E999" t="s">
        <v>37</v>
      </c>
      <c r="F999" t="s">
        <v>38</v>
      </c>
      <c r="G999" t="s">
        <v>38</v>
      </c>
      <c r="H999"/>
      <c r="I999"/>
      <c r="J999"/>
      <c r="K999" t="s">
        <v>4269</v>
      </c>
      <c r="L999">
        <v>62348</v>
      </c>
      <c r="M999" t="s">
        <v>723</v>
      </c>
    </row>
    <row r="1000" spans="1:13" ht="15" x14ac:dyDescent="0.25">
      <c r="A1000" t="s">
        <v>1873</v>
      </c>
      <c r="B1000" t="s">
        <v>11</v>
      </c>
      <c r="C1000" t="s">
        <v>12</v>
      </c>
      <c r="D1000" t="s">
        <v>111</v>
      </c>
      <c r="E1000" t="s">
        <v>120</v>
      </c>
      <c r="F1000" t="s">
        <v>1226</v>
      </c>
      <c r="G1000" t="s">
        <v>1227</v>
      </c>
      <c r="H1000"/>
      <c r="I1000"/>
      <c r="J1000"/>
      <c r="K1000" t="s">
        <v>4270</v>
      </c>
      <c r="L1000">
        <v>15233950</v>
      </c>
      <c r="M1000" t="s">
        <v>2956</v>
      </c>
    </row>
    <row r="1001" spans="1:13" ht="15" x14ac:dyDescent="0.25">
      <c r="A1001" t="s">
        <v>1057</v>
      </c>
      <c r="B1001" t="s">
        <v>11</v>
      </c>
      <c r="C1001" t="s">
        <v>12</v>
      </c>
      <c r="D1001" t="s">
        <v>29</v>
      </c>
      <c r="E1001" t="s">
        <v>30</v>
      </c>
      <c r="F1001" t="s">
        <v>105</v>
      </c>
      <c r="G1001" t="s">
        <v>158</v>
      </c>
      <c r="H1001" t="s">
        <v>622</v>
      </c>
      <c r="I1001" t="s">
        <v>623</v>
      </c>
      <c r="J1001"/>
      <c r="K1001" t="s">
        <v>4271</v>
      </c>
      <c r="L1001">
        <v>5367744</v>
      </c>
      <c r="M1001" t="s">
        <v>1144</v>
      </c>
    </row>
    <row r="1002" spans="1:13" ht="15" x14ac:dyDescent="0.25">
      <c r="A1002" t="s">
        <v>876</v>
      </c>
      <c r="B1002" t="s">
        <v>11</v>
      </c>
      <c r="C1002" t="s">
        <v>12</v>
      </c>
      <c r="D1002" t="s">
        <v>228</v>
      </c>
      <c r="E1002" t="s">
        <v>229</v>
      </c>
      <c r="F1002" t="s">
        <v>230</v>
      </c>
      <c r="G1002" t="s">
        <v>230</v>
      </c>
      <c r="H1002"/>
      <c r="I1002"/>
      <c r="J1002"/>
      <c r="K1002" t="s">
        <v>4272</v>
      </c>
      <c r="L1002">
        <v>12411</v>
      </c>
      <c r="M1002" t="s">
        <v>1093</v>
      </c>
    </row>
    <row r="1003" spans="1:13" ht="15" x14ac:dyDescent="0.25">
      <c r="A1003" t="s">
        <v>875</v>
      </c>
      <c r="B1003" t="s">
        <v>11</v>
      </c>
      <c r="C1003" t="s">
        <v>12</v>
      </c>
      <c r="D1003" t="s">
        <v>228</v>
      </c>
      <c r="E1003" t="s">
        <v>229</v>
      </c>
      <c r="F1003" t="s">
        <v>230</v>
      </c>
      <c r="G1003" t="s">
        <v>230</v>
      </c>
      <c r="H1003"/>
      <c r="I1003"/>
      <c r="J1003"/>
      <c r="K1003" t="s">
        <v>4273</v>
      </c>
      <c r="L1003">
        <v>26519</v>
      </c>
      <c r="M1003" t="s">
        <v>1092</v>
      </c>
    </row>
    <row r="1004" spans="1:13" ht="15" x14ac:dyDescent="0.25">
      <c r="A1004" t="s">
        <v>609</v>
      </c>
      <c r="B1004" t="s">
        <v>11</v>
      </c>
      <c r="C1004" t="s">
        <v>12</v>
      </c>
      <c r="D1004" t="s">
        <v>228</v>
      </c>
      <c r="E1004" t="s">
        <v>229</v>
      </c>
      <c r="F1004" t="s">
        <v>230</v>
      </c>
      <c r="G1004" t="s">
        <v>230</v>
      </c>
      <c r="H1004"/>
      <c r="I1004"/>
      <c r="J1004"/>
      <c r="K1004" t="s">
        <v>4274</v>
      </c>
      <c r="L1004">
        <v>12413</v>
      </c>
      <c r="M1004" t="s">
        <v>837</v>
      </c>
    </row>
    <row r="1005" spans="1:13" ht="15" x14ac:dyDescent="0.25">
      <c r="A1005" t="s">
        <v>997</v>
      </c>
      <c r="B1005" t="s">
        <v>11</v>
      </c>
      <c r="C1005" t="s">
        <v>12</v>
      </c>
      <c r="D1005" t="s">
        <v>228</v>
      </c>
      <c r="E1005" t="s">
        <v>229</v>
      </c>
      <c r="F1005" t="s">
        <v>230</v>
      </c>
      <c r="G1005" t="s">
        <v>230</v>
      </c>
      <c r="H1005"/>
      <c r="I1005"/>
      <c r="J1005"/>
      <c r="K1005" t="s">
        <v>4275</v>
      </c>
      <c r="L1005">
        <v>12412</v>
      </c>
      <c r="M1005" t="s">
        <v>1126</v>
      </c>
    </row>
    <row r="1006" spans="1:13" ht="15" x14ac:dyDescent="0.25">
      <c r="A1006" t="s">
        <v>608</v>
      </c>
      <c r="B1006" t="s">
        <v>11</v>
      </c>
      <c r="C1006" t="s">
        <v>12</v>
      </c>
      <c r="D1006" t="s">
        <v>228</v>
      </c>
      <c r="E1006" t="s">
        <v>229</v>
      </c>
      <c r="F1006" t="s">
        <v>230</v>
      </c>
      <c r="G1006" t="s">
        <v>230</v>
      </c>
      <c r="H1006"/>
      <c r="I1006"/>
      <c r="J1006"/>
      <c r="K1006" t="s">
        <v>4276</v>
      </c>
      <c r="L1006">
        <v>114842</v>
      </c>
      <c r="M1006" t="s">
        <v>836</v>
      </c>
    </row>
    <row r="1007" spans="1:13" ht="15" x14ac:dyDescent="0.25">
      <c r="A1007" t="s">
        <v>1175</v>
      </c>
      <c r="B1007" t="s">
        <v>11</v>
      </c>
      <c r="C1007" t="s">
        <v>12</v>
      </c>
      <c r="D1007" t="s">
        <v>24</v>
      </c>
      <c r="E1007" t="s">
        <v>25</v>
      </c>
      <c r="F1007" t="s">
        <v>489</v>
      </c>
      <c r="G1007" t="s">
        <v>533</v>
      </c>
      <c r="H1007" t="s">
        <v>534</v>
      </c>
      <c r="I1007"/>
      <c r="J1007"/>
      <c r="K1007" t="s">
        <v>4277</v>
      </c>
      <c r="L1007">
        <v>20788650</v>
      </c>
      <c r="M1007" t="s">
        <v>1238</v>
      </c>
    </row>
    <row r="1008" spans="1:13" ht="15" x14ac:dyDescent="0.25">
      <c r="A1008" t="s">
        <v>1670</v>
      </c>
      <c r="B1008" t="s">
        <v>11</v>
      </c>
      <c r="C1008" t="s">
        <v>12</v>
      </c>
      <c r="D1008" t="s">
        <v>111</v>
      </c>
      <c r="E1008" t="s">
        <v>120</v>
      </c>
      <c r="F1008" t="s">
        <v>1226</v>
      </c>
      <c r="G1008" t="s">
        <v>1226</v>
      </c>
      <c r="H1008"/>
      <c r="I1008"/>
      <c r="J1008"/>
      <c r="K1008" t="s">
        <v>4278</v>
      </c>
      <c r="L1008">
        <v>123929035</v>
      </c>
      <c r="M1008" t="s">
        <v>2032</v>
      </c>
    </row>
    <row r="1009" spans="1:13" ht="15" x14ac:dyDescent="0.25">
      <c r="A1009" t="s">
        <v>556</v>
      </c>
      <c r="B1009" t="s">
        <v>11</v>
      </c>
      <c r="C1009" t="s">
        <v>12</v>
      </c>
      <c r="D1009" t="s">
        <v>24</v>
      </c>
      <c r="E1009" t="s">
        <v>25</v>
      </c>
      <c r="F1009" t="s">
        <v>489</v>
      </c>
      <c r="G1009" t="s">
        <v>489</v>
      </c>
      <c r="H1009"/>
      <c r="I1009"/>
      <c r="J1009"/>
      <c r="K1009" t="s">
        <v>4279</v>
      </c>
      <c r="L1009">
        <v>8162</v>
      </c>
      <c r="M1009" t="s">
        <v>2957</v>
      </c>
    </row>
    <row r="1010" spans="1:13" ht="15" x14ac:dyDescent="0.25">
      <c r="A1010" t="s">
        <v>1615</v>
      </c>
      <c r="B1010" t="s">
        <v>11</v>
      </c>
      <c r="C1010" t="s">
        <v>12</v>
      </c>
      <c r="D1010" t="s">
        <v>111</v>
      </c>
      <c r="E1010" t="s">
        <v>120</v>
      </c>
      <c r="F1010" t="s">
        <v>121</v>
      </c>
      <c r="G1010" t="s">
        <v>122</v>
      </c>
      <c r="H1010"/>
      <c r="I1010"/>
      <c r="J1010"/>
      <c r="K1010" t="s">
        <v>4280</v>
      </c>
      <c r="L1010">
        <v>238782</v>
      </c>
      <c r="M1010" t="s">
        <v>2958</v>
      </c>
    </row>
    <row r="1011" spans="1:13" ht="15" x14ac:dyDescent="0.25">
      <c r="A1011" t="s">
        <v>443</v>
      </c>
      <c r="B1011" t="s">
        <v>11</v>
      </c>
      <c r="C1011" t="s">
        <v>12</v>
      </c>
      <c r="D1011" t="s">
        <v>29</v>
      </c>
      <c r="E1011" t="s">
        <v>30</v>
      </c>
      <c r="F1011" t="s">
        <v>40</v>
      </c>
      <c r="G1011" t="s">
        <v>408</v>
      </c>
      <c r="H1011"/>
      <c r="I1011"/>
      <c r="J1011"/>
      <c r="K1011" t="s">
        <v>4281</v>
      </c>
      <c r="L1011">
        <v>752</v>
      </c>
      <c r="M1011" t="s">
        <v>2959</v>
      </c>
    </row>
    <row r="1012" spans="1:13" ht="15" x14ac:dyDescent="0.25">
      <c r="A1012" t="s">
        <v>1920</v>
      </c>
      <c r="B1012" t="s">
        <v>11</v>
      </c>
      <c r="C1012" t="s">
        <v>12</v>
      </c>
      <c r="D1012" t="s">
        <v>24</v>
      </c>
      <c r="E1012" t="s">
        <v>94</v>
      </c>
      <c r="F1012" t="s">
        <v>1203</v>
      </c>
      <c r="G1012" t="s">
        <v>1204</v>
      </c>
      <c r="H1012"/>
      <c r="I1012"/>
      <c r="J1012"/>
      <c r="K1012" t="s">
        <v>4282</v>
      </c>
      <c r="L1012">
        <v>11025495</v>
      </c>
      <c r="M1012" t="s">
        <v>2960</v>
      </c>
    </row>
    <row r="1013" spans="1:13" ht="15" x14ac:dyDescent="0.25">
      <c r="A1013" t="s">
        <v>1924</v>
      </c>
      <c r="B1013" t="s">
        <v>11</v>
      </c>
      <c r="C1013" t="s">
        <v>12</v>
      </c>
      <c r="D1013" t="s">
        <v>24</v>
      </c>
      <c r="E1013" t="s">
        <v>94</v>
      </c>
      <c r="F1013" t="s">
        <v>1203</v>
      </c>
      <c r="G1013" t="s">
        <v>1204</v>
      </c>
      <c r="H1013"/>
      <c r="I1013"/>
      <c r="J1013"/>
      <c r="K1013" t="s">
        <v>4283</v>
      </c>
      <c r="L1013">
        <v>5997</v>
      </c>
      <c r="M1013" t="s">
        <v>2960</v>
      </c>
    </row>
    <row r="1014" spans="1:13" ht="15" x14ac:dyDescent="0.25">
      <c r="A1014" t="s">
        <v>1202</v>
      </c>
      <c r="B1014" t="s">
        <v>11</v>
      </c>
      <c r="C1014" t="s">
        <v>12</v>
      </c>
      <c r="D1014" t="s">
        <v>24</v>
      </c>
      <c r="E1014" t="s">
        <v>94</v>
      </c>
      <c r="F1014" t="s">
        <v>1203</v>
      </c>
      <c r="G1014" t="s">
        <v>1204</v>
      </c>
      <c r="H1014"/>
      <c r="I1014"/>
      <c r="J1014"/>
      <c r="K1014" t="s">
        <v>4284</v>
      </c>
      <c r="L1014">
        <v>304</v>
      </c>
      <c r="M1014" t="s">
        <v>2960</v>
      </c>
    </row>
    <row r="1015" spans="1:13" ht="15" x14ac:dyDescent="0.25">
      <c r="A1015" t="s">
        <v>1416</v>
      </c>
      <c r="B1015" t="s">
        <v>11</v>
      </c>
      <c r="C1015" t="s">
        <v>12</v>
      </c>
      <c r="D1015" t="s">
        <v>24</v>
      </c>
      <c r="E1015" t="s">
        <v>94</v>
      </c>
      <c r="F1015" t="s">
        <v>1203</v>
      </c>
      <c r="G1015" t="s">
        <v>1204</v>
      </c>
      <c r="H1015"/>
      <c r="I1015"/>
      <c r="J1015"/>
      <c r="K1015" t="s">
        <v>4285</v>
      </c>
      <c r="L1015">
        <v>70795838</v>
      </c>
      <c r="M1015" t="s">
        <v>2960</v>
      </c>
    </row>
    <row r="1016" spans="1:13" ht="15" x14ac:dyDescent="0.25">
      <c r="A1016" t="s">
        <v>1195</v>
      </c>
      <c r="B1016" t="s">
        <v>11</v>
      </c>
      <c r="C1016" t="s">
        <v>12</v>
      </c>
      <c r="D1016" t="s">
        <v>24</v>
      </c>
      <c r="E1016" t="s">
        <v>94</v>
      </c>
      <c r="F1016" t="s">
        <v>95</v>
      </c>
      <c r="G1016" t="s">
        <v>95</v>
      </c>
      <c r="H1016"/>
      <c r="I1016"/>
      <c r="J1016"/>
      <c r="K1016" t="s">
        <v>4286</v>
      </c>
      <c r="L1016">
        <v>22012</v>
      </c>
      <c r="M1016" t="s">
        <v>2961</v>
      </c>
    </row>
    <row r="1017" spans="1:13" ht="15" x14ac:dyDescent="0.25">
      <c r="A1017" t="s">
        <v>636</v>
      </c>
      <c r="B1017" t="s">
        <v>11</v>
      </c>
      <c r="C1017" t="s">
        <v>12</v>
      </c>
      <c r="D1017" t="s">
        <v>24</v>
      </c>
      <c r="E1017" t="s">
        <v>25</v>
      </c>
      <c r="F1017" t="s">
        <v>388</v>
      </c>
      <c r="G1017" t="s">
        <v>571</v>
      </c>
      <c r="H1017"/>
      <c r="I1017"/>
      <c r="J1017"/>
      <c r="K1017" t="s">
        <v>4287</v>
      </c>
      <c r="L1017">
        <v>10471</v>
      </c>
      <c r="M1017" t="s">
        <v>2962</v>
      </c>
    </row>
    <row r="1018" spans="1:13" ht="15" x14ac:dyDescent="0.25">
      <c r="A1018" t="s">
        <v>633</v>
      </c>
      <c r="B1018" t="s">
        <v>11</v>
      </c>
      <c r="C1018" t="s">
        <v>12</v>
      </c>
      <c r="D1018" t="s">
        <v>24</v>
      </c>
      <c r="E1018" t="s">
        <v>25</v>
      </c>
      <c r="F1018" t="s">
        <v>388</v>
      </c>
      <c r="G1018" t="s">
        <v>571</v>
      </c>
      <c r="H1018"/>
      <c r="I1018"/>
      <c r="J1018"/>
      <c r="K1018" t="s">
        <v>4288</v>
      </c>
      <c r="L1018">
        <v>19255</v>
      </c>
      <c r="M1018" t="s">
        <v>2963</v>
      </c>
    </row>
    <row r="1019" spans="1:13" ht="15" x14ac:dyDescent="0.25">
      <c r="A1019" t="s">
        <v>632</v>
      </c>
      <c r="B1019" t="s">
        <v>11</v>
      </c>
      <c r="C1019" t="s">
        <v>12</v>
      </c>
      <c r="D1019" t="s">
        <v>24</v>
      </c>
      <c r="E1019" t="s">
        <v>25</v>
      </c>
      <c r="F1019" t="s">
        <v>388</v>
      </c>
      <c r="G1019" t="s">
        <v>571</v>
      </c>
      <c r="H1019"/>
      <c r="I1019"/>
      <c r="J1019"/>
      <c r="K1019" t="s">
        <v>4289</v>
      </c>
      <c r="L1019">
        <v>94485</v>
      </c>
      <c r="M1019" t="s">
        <v>2964</v>
      </c>
    </row>
    <row r="1020" spans="1:13" ht="15" x14ac:dyDescent="0.25">
      <c r="A1020" t="s">
        <v>1362</v>
      </c>
      <c r="B1020" t="s">
        <v>11</v>
      </c>
      <c r="C1020" t="s">
        <v>12</v>
      </c>
      <c r="D1020" t="s">
        <v>36</v>
      </c>
      <c r="E1020" t="s">
        <v>37</v>
      </c>
      <c r="F1020" t="s">
        <v>38</v>
      </c>
      <c r="G1020" t="s">
        <v>38</v>
      </c>
      <c r="H1020"/>
      <c r="I1020"/>
      <c r="J1020"/>
      <c r="K1020" t="s">
        <v>4290</v>
      </c>
      <c r="L1020">
        <v>10003994</v>
      </c>
      <c r="M1020" t="s">
        <v>1533</v>
      </c>
    </row>
    <row r="1021" spans="1:13" ht="15" x14ac:dyDescent="0.25">
      <c r="A1021" t="s">
        <v>141</v>
      </c>
      <c r="B1021" t="s">
        <v>11</v>
      </c>
      <c r="C1021" t="s">
        <v>12</v>
      </c>
      <c r="D1021" t="s">
        <v>101</v>
      </c>
      <c r="E1021" t="s">
        <v>142</v>
      </c>
      <c r="F1021" t="s">
        <v>143</v>
      </c>
      <c r="G1021" t="s">
        <v>144</v>
      </c>
      <c r="H1021"/>
      <c r="I1021"/>
      <c r="J1021"/>
      <c r="K1021" t="s">
        <v>4291</v>
      </c>
      <c r="L1021">
        <v>5319235</v>
      </c>
      <c r="M1021" t="s">
        <v>2965</v>
      </c>
    </row>
    <row r="1022" spans="1:13" ht="15" x14ac:dyDescent="0.25">
      <c r="A1022" t="s">
        <v>1679</v>
      </c>
      <c r="B1022" t="s">
        <v>11</v>
      </c>
      <c r="C1022" t="s">
        <v>12</v>
      </c>
      <c r="D1022" t="s">
        <v>111</v>
      </c>
      <c r="E1022" t="s">
        <v>120</v>
      </c>
      <c r="F1022" t="s">
        <v>1226</v>
      </c>
      <c r="G1022" t="s">
        <v>1227</v>
      </c>
      <c r="H1022"/>
      <c r="I1022"/>
      <c r="J1022"/>
      <c r="K1022" t="s">
        <v>4292</v>
      </c>
      <c r="L1022">
        <v>5459196</v>
      </c>
      <c r="M1022" t="s">
        <v>2966</v>
      </c>
    </row>
    <row r="1023" spans="1:13" ht="15" x14ac:dyDescent="0.25">
      <c r="A1023" t="s">
        <v>1625</v>
      </c>
      <c r="B1023" t="s">
        <v>11</v>
      </c>
      <c r="C1023" t="s">
        <v>12</v>
      </c>
      <c r="D1023" t="s">
        <v>111</v>
      </c>
      <c r="E1023" t="s">
        <v>120</v>
      </c>
      <c r="F1023" t="s">
        <v>1592</v>
      </c>
      <c r="G1023" t="s">
        <v>1593</v>
      </c>
      <c r="H1023"/>
      <c r="I1023"/>
      <c r="J1023"/>
      <c r="K1023" t="s">
        <v>4293</v>
      </c>
      <c r="L1023">
        <v>5352001</v>
      </c>
      <c r="M1023" t="s">
        <v>2967</v>
      </c>
    </row>
    <row r="1024" spans="1:13" ht="15" x14ac:dyDescent="0.25">
      <c r="A1024" t="s">
        <v>419</v>
      </c>
      <c r="B1024" t="s">
        <v>11</v>
      </c>
      <c r="C1024" t="s">
        <v>12</v>
      </c>
      <c r="D1024" t="s">
        <v>24</v>
      </c>
      <c r="E1024" t="s">
        <v>54</v>
      </c>
      <c r="F1024" t="s">
        <v>420</v>
      </c>
      <c r="G1024" t="s">
        <v>420</v>
      </c>
      <c r="H1024"/>
      <c r="I1024"/>
      <c r="J1024"/>
      <c r="K1024" t="s">
        <v>4294</v>
      </c>
      <c r="L1024">
        <v>6436877</v>
      </c>
      <c r="M1024" t="s">
        <v>2968</v>
      </c>
    </row>
    <row r="1025" spans="1:13" ht="15" x14ac:dyDescent="0.25">
      <c r="A1025" t="s">
        <v>2425</v>
      </c>
      <c r="B1025" t="s">
        <v>11</v>
      </c>
      <c r="C1025" t="s">
        <v>12</v>
      </c>
      <c r="D1025" t="s">
        <v>24</v>
      </c>
      <c r="E1025" t="s">
        <v>54</v>
      </c>
      <c r="F1025" t="s">
        <v>420</v>
      </c>
      <c r="G1025" t="s">
        <v>420</v>
      </c>
      <c r="H1025"/>
      <c r="I1025"/>
      <c r="J1025"/>
      <c r="K1025" t="s">
        <v>4295</v>
      </c>
      <c r="L1025">
        <v>5364174</v>
      </c>
      <c r="M1025" t="s">
        <v>2968</v>
      </c>
    </row>
    <row r="1026" spans="1:13" ht="15" x14ac:dyDescent="0.25">
      <c r="A1026" t="s">
        <v>2426</v>
      </c>
      <c r="B1026" t="s">
        <v>11</v>
      </c>
      <c r="C1026" t="s">
        <v>12</v>
      </c>
      <c r="D1026" t="s">
        <v>24</v>
      </c>
      <c r="E1026" t="s">
        <v>54</v>
      </c>
      <c r="F1026" t="s">
        <v>420</v>
      </c>
      <c r="G1026" t="s">
        <v>420</v>
      </c>
      <c r="H1026"/>
      <c r="I1026"/>
      <c r="J1026"/>
      <c r="K1026" t="s">
        <v>4296</v>
      </c>
      <c r="L1026">
        <v>132838614</v>
      </c>
      <c r="M1026" t="s">
        <v>2968</v>
      </c>
    </row>
    <row r="1027" spans="1:13" ht="15" x14ac:dyDescent="0.25">
      <c r="A1027" t="s">
        <v>1898</v>
      </c>
      <c r="B1027" t="s">
        <v>11</v>
      </c>
      <c r="C1027" t="s">
        <v>12</v>
      </c>
      <c r="D1027" t="s">
        <v>111</v>
      </c>
      <c r="E1027" t="s">
        <v>304</v>
      </c>
      <c r="F1027" t="s">
        <v>668</v>
      </c>
      <c r="G1027" t="s">
        <v>668</v>
      </c>
      <c r="H1027"/>
      <c r="I1027"/>
      <c r="J1027"/>
      <c r="K1027" t="s">
        <v>4297</v>
      </c>
      <c r="L1027">
        <v>53685137</v>
      </c>
      <c r="M1027" t="s">
        <v>2969</v>
      </c>
    </row>
    <row r="1028" spans="1:13" ht="15" x14ac:dyDescent="0.25">
      <c r="A1028" t="s">
        <v>2286</v>
      </c>
      <c r="B1028" t="s">
        <v>11</v>
      </c>
      <c r="C1028" t="s">
        <v>12</v>
      </c>
      <c r="D1028" t="s">
        <v>24</v>
      </c>
      <c r="E1028" t="s">
        <v>54</v>
      </c>
      <c r="F1028" t="s">
        <v>986</v>
      </c>
      <c r="G1028" t="s">
        <v>986</v>
      </c>
      <c r="H1028"/>
      <c r="I1028"/>
      <c r="J1028"/>
      <c r="K1028" t="s">
        <v>4298</v>
      </c>
      <c r="L1028">
        <v>489941</v>
      </c>
      <c r="M1028" t="s">
        <v>2970</v>
      </c>
    </row>
    <row r="1029" spans="1:13" ht="15" x14ac:dyDescent="0.25">
      <c r="A1029" t="s">
        <v>2269</v>
      </c>
      <c r="B1029" t="s">
        <v>11</v>
      </c>
      <c r="C1029" t="s">
        <v>12</v>
      </c>
      <c r="D1029" t="s">
        <v>24</v>
      </c>
      <c r="E1029" t="s">
        <v>54</v>
      </c>
      <c r="F1029" t="s">
        <v>986</v>
      </c>
      <c r="G1029" t="s">
        <v>986</v>
      </c>
      <c r="H1029"/>
      <c r="I1029"/>
      <c r="J1029"/>
      <c r="K1029" t="s">
        <v>4299</v>
      </c>
      <c r="L1029">
        <v>122844</v>
      </c>
      <c r="M1029" t="s">
        <v>2971</v>
      </c>
    </row>
    <row r="1030" spans="1:13" ht="15" x14ac:dyDescent="0.25">
      <c r="A1030" t="s">
        <v>2278</v>
      </c>
      <c r="B1030" t="s">
        <v>11</v>
      </c>
      <c r="C1030" t="s">
        <v>12</v>
      </c>
      <c r="D1030" t="s">
        <v>24</v>
      </c>
      <c r="E1030" t="s">
        <v>54</v>
      </c>
      <c r="F1030" t="s">
        <v>986</v>
      </c>
      <c r="G1030" t="s">
        <v>986</v>
      </c>
      <c r="H1030"/>
      <c r="I1030"/>
      <c r="J1030"/>
      <c r="K1030" t="s">
        <v>4300</v>
      </c>
      <c r="L1030">
        <v>6451093</v>
      </c>
      <c r="M1030" t="s">
        <v>2972</v>
      </c>
    </row>
    <row r="1031" spans="1:13" ht="15" x14ac:dyDescent="0.25">
      <c r="A1031" t="s">
        <v>1313</v>
      </c>
      <c r="B1031" t="s">
        <v>11</v>
      </c>
      <c r="C1031" t="s">
        <v>12</v>
      </c>
      <c r="D1031" t="s">
        <v>29</v>
      </c>
      <c r="E1031" t="s">
        <v>30</v>
      </c>
      <c r="F1031" t="s">
        <v>105</v>
      </c>
      <c r="G1031" t="s">
        <v>106</v>
      </c>
      <c r="H1031" t="s">
        <v>107</v>
      </c>
      <c r="I1031" t="s">
        <v>108</v>
      </c>
      <c r="J1031" t="s">
        <v>109</v>
      </c>
      <c r="K1031" t="s">
        <v>4301</v>
      </c>
      <c r="L1031">
        <v>15782</v>
      </c>
      <c r="M1031" t="s">
        <v>2973</v>
      </c>
    </row>
    <row r="1032" spans="1:13" ht="15" x14ac:dyDescent="0.25">
      <c r="A1032" t="s">
        <v>2287</v>
      </c>
      <c r="B1032" t="s">
        <v>11</v>
      </c>
      <c r="C1032" t="s">
        <v>12</v>
      </c>
      <c r="D1032" t="s">
        <v>24</v>
      </c>
      <c r="E1032" t="s">
        <v>54</v>
      </c>
      <c r="F1032" t="s">
        <v>986</v>
      </c>
      <c r="G1032" t="s">
        <v>986</v>
      </c>
      <c r="H1032"/>
      <c r="I1032"/>
      <c r="J1032"/>
      <c r="K1032" t="s">
        <v>4302</v>
      </c>
      <c r="L1032">
        <v>489940</v>
      </c>
      <c r="M1032" t="s">
        <v>2974</v>
      </c>
    </row>
    <row r="1033" spans="1:13" ht="15" x14ac:dyDescent="0.25">
      <c r="A1033" t="s">
        <v>1219</v>
      </c>
      <c r="B1033" t="s">
        <v>11</v>
      </c>
      <c r="C1033" t="s">
        <v>12</v>
      </c>
      <c r="D1033" t="s">
        <v>36</v>
      </c>
      <c r="E1033" t="s">
        <v>44</v>
      </c>
      <c r="F1033" t="s">
        <v>1220</v>
      </c>
      <c r="G1033" t="s">
        <v>1220</v>
      </c>
      <c r="H1033"/>
      <c r="I1033"/>
      <c r="J1033"/>
      <c r="K1033" t="s">
        <v>4303</v>
      </c>
      <c r="L1033">
        <v>489943</v>
      </c>
      <c r="M1033" t="s">
        <v>2975</v>
      </c>
    </row>
    <row r="1034" spans="1:13" ht="15" x14ac:dyDescent="0.25">
      <c r="A1034" t="s">
        <v>1357</v>
      </c>
      <c r="B1034" t="s">
        <v>11</v>
      </c>
      <c r="C1034" t="s">
        <v>12</v>
      </c>
      <c r="D1034" t="s">
        <v>101</v>
      </c>
      <c r="E1034" t="s">
        <v>142</v>
      </c>
      <c r="F1034" t="s">
        <v>143</v>
      </c>
      <c r="G1034" t="s">
        <v>144</v>
      </c>
      <c r="H1034"/>
      <c r="I1034"/>
      <c r="J1034"/>
      <c r="K1034" t="s">
        <v>4304</v>
      </c>
      <c r="L1034">
        <v>56672574</v>
      </c>
      <c r="M1034" t="s">
        <v>2976</v>
      </c>
    </row>
    <row r="1035" spans="1:13" ht="15" x14ac:dyDescent="0.25">
      <c r="A1035" t="s">
        <v>1224</v>
      </c>
      <c r="B1035" t="s">
        <v>11</v>
      </c>
      <c r="C1035" t="s">
        <v>12</v>
      </c>
      <c r="D1035" t="s">
        <v>101</v>
      </c>
      <c r="E1035" t="s">
        <v>142</v>
      </c>
      <c r="F1035" t="s">
        <v>143</v>
      </c>
      <c r="G1035" t="s">
        <v>144</v>
      </c>
      <c r="H1035"/>
      <c r="I1035"/>
      <c r="J1035"/>
      <c r="K1035" t="s">
        <v>4305</v>
      </c>
      <c r="L1035">
        <v>54552371</v>
      </c>
      <c r="M1035" t="s">
        <v>2977</v>
      </c>
    </row>
    <row r="1036" spans="1:13" ht="15" x14ac:dyDescent="0.25">
      <c r="A1036" t="s">
        <v>2168</v>
      </c>
      <c r="B1036" t="s">
        <v>11</v>
      </c>
      <c r="C1036" t="s">
        <v>12</v>
      </c>
      <c r="D1036" t="s">
        <v>24</v>
      </c>
      <c r="E1036" t="s">
        <v>54</v>
      </c>
      <c r="F1036" t="s">
        <v>55</v>
      </c>
      <c r="G1036" t="s">
        <v>56</v>
      </c>
      <c r="H1036"/>
      <c r="I1036"/>
      <c r="J1036"/>
      <c r="K1036" t="s">
        <v>4306</v>
      </c>
      <c r="L1036">
        <v>636475</v>
      </c>
      <c r="M1036" t="s">
        <v>2978</v>
      </c>
    </row>
    <row r="1037" spans="1:13" ht="15" x14ac:dyDescent="0.25">
      <c r="A1037" t="s">
        <v>2235</v>
      </c>
      <c r="B1037" t="s">
        <v>11</v>
      </c>
      <c r="C1037" t="s">
        <v>12</v>
      </c>
      <c r="D1037" t="s">
        <v>24</v>
      </c>
      <c r="E1037" t="s">
        <v>54</v>
      </c>
      <c r="F1037" t="s">
        <v>60</v>
      </c>
      <c r="G1037" t="s">
        <v>933</v>
      </c>
      <c r="H1037" t="s">
        <v>934</v>
      </c>
      <c r="I1037"/>
      <c r="J1037"/>
      <c r="K1037" t="s">
        <v>4307</v>
      </c>
      <c r="L1037">
        <v>11996452</v>
      </c>
      <c r="M1037" t="s">
        <v>2330</v>
      </c>
    </row>
    <row r="1038" spans="1:13" ht="15" x14ac:dyDescent="0.25">
      <c r="A1038" t="s">
        <v>2200</v>
      </c>
      <c r="B1038" t="s">
        <v>11</v>
      </c>
      <c r="C1038" t="s">
        <v>12</v>
      </c>
      <c r="D1038" t="s">
        <v>24</v>
      </c>
      <c r="E1038" t="s">
        <v>54</v>
      </c>
      <c r="F1038" t="s">
        <v>60</v>
      </c>
      <c r="G1038" t="s">
        <v>60</v>
      </c>
      <c r="H1038"/>
      <c r="I1038"/>
      <c r="J1038"/>
      <c r="K1038" t="s">
        <v>4308</v>
      </c>
      <c r="L1038">
        <v>57339298</v>
      </c>
      <c r="M1038" t="s">
        <v>2979</v>
      </c>
    </row>
    <row r="1039" spans="1:13" ht="15" x14ac:dyDescent="0.25">
      <c r="A1039" t="s">
        <v>946</v>
      </c>
      <c r="B1039" t="s">
        <v>11</v>
      </c>
      <c r="C1039" t="s">
        <v>12</v>
      </c>
      <c r="D1039" t="s">
        <v>24</v>
      </c>
      <c r="E1039" t="s">
        <v>54</v>
      </c>
      <c r="F1039" t="s">
        <v>60</v>
      </c>
      <c r="G1039" t="s">
        <v>931</v>
      </c>
      <c r="H1039"/>
      <c r="I1039"/>
      <c r="J1039"/>
      <c r="K1039" t="s">
        <v>4309</v>
      </c>
      <c r="L1039">
        <v>5317570</v>
      </c>
      <c r="M1039" t="s">
        <v>1112</v>
      </c>
    </row>
    <row r="1040" spans="1:13" ht="15" x14ac:dyDescent="0.25">
      <c r="A1040" t="s">
        <v>930</v>
      </c>
      <c r="B1040" t="s">
        <v>11</v>
      </c>
      <c r="C1040" t="s">
        <v>12</v>
      </c>
      <c r="D1040" t="s">
        <v>24</v>
      </c>
      <c r="E1040" t="s">
        <v>54</v>
      </c>
      <c r="F1040" t="s">
        <v>60</v>
      </c>
      <c r="G1040" t="s">
        <v>931</v>
      </c>
      <c r="H1040"/>
      <c r="I1040"/>
      <c r="J1040"/>
      <c r="K1040" t="s">
        <v>4310</v>
      </c>
      <c r="L1040">
        <v>5373727</v>
      </c>
      <c r="M1040" t="s">
        <v>1112</v>
      </c>
    </row>
    <row r="1041" spans="1:13" ht="15" x14ac:dyDescent="0.25">
      <c r="A1041" t="s">
        <v>944</v>
      </c>
      <c r="B1041" t="s">
        <v>11</v>
      </c>
      <c r="C1041" t="s">
        <v>12</v>
      </c>
      <c r="D1041" t="s">
        <v>24</v>
      </c>
      <c r="E1041" t="s">
        <v>54</v>
      </c>
      <c r="F1041" t="s">
        <v>60</v>
      </c>
      <c r="G1041" t="s">
        <v>931</v>
      </c>
      <c r="H1041"/>
      <c r="I1041"/>
      <c r="J1041"/>
      <c r="K1041" t="s">
        <v>4311</v>
      </c>
      <c r="L1041">
        <v>6436582</v>
      </c>
      <c r="M1041" t="s">
        <v>1112</v>
      </c>
    </row>
    <row r="1042" spans="1:13" ht="15" x14ac:dyDescent="0.25">
      <c r="A1042" t="s">
        <v>964</v>
      </c>
      <c r="B1042" t="s">
        <v>11</v>
      </c>
      <c r="C1042" t="s">
        <v>12</v>
      </c>
      <c r="D1042" t="s">
        <v>24</v>
      </c>
      <c r="E1042" t="s">
        <v>54</v>
      </c>
      <c r="F1042" t="s">
        <v>60</v>
      </c>
      <c r="G1042" t="s">
        <v>931</v>
      </c>
      <c r="H1042"/>
      <c r="I1042"/>
      <c r="J1042"/>
      <c r="K1042" t="s">
        <v>4312</v>
      </c>
      <c r="L1042">
        <v>91104</v>
      </c>
      <c r="M1042" t="s">
        <v>1112</v>
      </c>
    </row>
    <row r="1043" spans="1:13" ht="15" x14ac:dyDescent="0.25">
      <c r="A1043" t="s">
        <v>949</v>
      </c>
      <c r="B1043" t="s">
        <v>11</v>
      </c>
      <c r="C1043" t="s">
        <v>12</v>
      </c>
      <c r="D1043" t="s">
        <v>24</v>
      </c>
      <c r="E1043" t="s">
        <v>54</v>
      </c>
      <c r="F1043" t="s">
        <v>60</v>
      </c>
      <c r="G1043" t="s">
        <v>931</v>
      </c>
      <c r="H1043"/>
      <c r="I1043"/>
      <c r="J1043"/>
      <c r="K1043" t="s">
        <v>4313</v>
      </c>
      <c r="L1043">
        <v>91723653</v>
      </c>
      <c r="M1043" t="s">
        <v>1112</v>
      </c>
    </row>
    <row r="1044" spans="1:13" ht="15" x14ac:dyDescent="0.25">
      <c r="A1044" t="s">
        <v>945</v>
      </c>
      <c r="B1044" t="s">
        <v>11</v>
      </c>
      <c r="C1044" t="s">
        <v>12</v>
      </c>
      <c r="D1044" t="s">
        <v>24</v>
      </c>
      <c r="E1044" t="s">
        <v>54</v>
      </c>
      <c r="F1044" t="s">
        <v>60</v>
      </c>
      <c r="G1044" t="s">
        <v>931</v>
      </c>
      <c r="H1044"/>
      <c r="I1044"/>
      <c r="J1044"/>
      <c r="K1044" t="s">
        <v>4314</v>
      </c>
      <c r="L1044">
        <v>24771782</v>
      </c>
      <c r="M1044" t="s">
        <v>1112</v>
      </c>
    </row>
    <row r="1045" spans="1:13" ht="15" x14ac:dyDescent="0.25">
      <c r="A1045" t="s">
        <v>2427</v>
      </c>
      <c r="B1045" t="s">
        <v>11</v>
      </c>
      <c r="C1045" t="s">
        <v>12</v>
      </c>
      <c r="D1045" t="s">
        <v>24</v>
      </c>
      <c r="E1045" t="s">
        <v>54</v>
      </c>
      <c r="F1045" t="s">
        <v>60</v>
      </c>
      <c r="G1045" t="s">
        <v>931</v>
      </c>
      <c r="H1045"/>
      <c r="I1045"/>
      <c r="J1045"/>
      <c r="K1045" t="s">
        <v>4315</v>
      </c>
      <c r="L1045">
        <v>74764030</v>
      </c>
      <c r="M1045" t="s">
        <v>1112</v>
      </c>
    </row>
    <row r="1046" spans="1:13" ht="15" x14ac:dyDescent="0.25">
      <c r="A1046" t="s">
        <v>965</v>
      </c>
      <c r="B1046" t="s">
        <v>11</v>
      </c>
      <c r="C1046" t="s">
        <v>12</v>
      </c>
      <c r="D1046" t="s">
        <v>24</v>
      </c>
      <c r="E1046" t="s">
        <v>54</v>
      </c>
      <c r="F1046" t="s">
        <v>60</v>
      </c>
      <c r="G1046" t="s">
        <v>931</v>
      </c>
      <c r="H1046"/>
      <c r="I1046"/>
      <c r="J1046"/>
      <c r="K1046" t="s">
        <v>4316</v>
      </c>
      <c r="L1046">
        <v>49796490</v>
      </c>
      <c r="M1046" t="s">
        <v>1112</v>
      </c>
    </row>
    <row r="1047" spans="1:13" ht="15" x14ac:dyDescent="0.25">
      <c r="A1047" t="s">
        <v>276</v>
      </c>
      <c r="B1047" t="s">
        <v>11</v>
      </c>
      <c r="C1047" t="s">
        <v>12</v>
      </c>
      <c r="D1047" t="s">
        <v>13</v>
      </c>
      <c r="E1047" t="s">
        <v>14</v>
      </c>
      <c r="F1047" t="s">
        <v>255</v>
      </c>
      <c r="G1047" t="s">
        <v>256</v>
      </c>
      <c r="H1047" t="s">
        <v>277</v>
      </c>
      <c r="I1047"/>
      <c r="J1047"/>
      <c r="K1047" t="s">
        <v>4317</v>
      </c>
      <c r="L1047">
        <v>119</v>
      </c>
      <c r="M1047" t="s">
        <v>2980</v>
      </c>
    </row>
    <row r="1048" spans="1:13" ht="15" x14ac:dyDescent="0.25">
      <c r="A1048" t="s">
        <v>438</v>
      </c>
      <c r="B1048" t="s">
        <v>11</v>
      </c>
      <c r="C1048" t="s">
        <v>12</v>
      </c>
      <c r="D1048" t="s">
        <v>13</v>
      </c>
      <c r="E1048" t="s">
        <v>14</v>
      </c>
      <c r="F1048" t="s">
        <v>429</v>
      </c>
      <c r="G1048" t="s">
        <v>429</v>
      </c>
      <c r="H1048"/>
      <c r="I1048"/>
      <c r="J1048"/>
      <c r="K1048" t="s">
        <v>4318</v>
      </c>
      <c r="L1048">
        <v>175</v>
      </c>
      <c r="M1048" t="s">
        <v>2981</v>
      </c>
    </row>
    <row r="1049" spans="1:13" ht="15" x14ac:dyDescent="0.25">
      <c r="A1049" t="s">
        <v>2428</v>
      </c>
      <c r="B1049" t="s">
        <v>11</v>
      </c>
      <c r="C1049" t="s">
        <v>12</v>
      </c>
      <c r="D1049" t="s">
        <v>101</v>
      </c>
      <c r="E1049" t="s">
        <v>174</v>
      </c>
      <c r="F1049" t="s">
        <v>175</v>
      </c>
      <c r="G1049" t="s">
        <v>176</v>
      </c>
      <c r="H1049"/>
      <c r="I1049"/>
      <c r="J1049"/>
      <c r="K1049" t="s">
        <v>4319</v>
      </c>
      <c r="L1049">
        <v>54670067</v>
      </c>
      <c r="M1049" t="s">
        <v>2982</v>
      </c>
    </row>
    <row r="1050" spans="1:13" ht="15" x14ac:dyDescent="0.25">
      <c r="A1050" t="s">
        <v>442</v>
      </c>
      <c r="B1050" t="s">
        <v>11</v>
      </c>
      <c r="C1050" t="s">
        <v>12</v>
      </c>
      <c r="D1050" t="s">
        <v>13</v>
      </c>
      <c r="E1050" t="s">
        <v>14</v>
      </c>
      <c r="F1050" t="s">
        <v>368</v>
      </c>
      <c r="G1050" t="s">
        <v>368</v>
      </c>
      <c r="H1050"/>
      <c r="I1050"/>
      <c r="J1050"/>
      <c r="K1050" t="s">
        <v>4320</v>
      </c>
      <c r="L1050">
        <v>311</v>
      </c>
      <c r="M1050" t="s">
        <v>790</v>
      </c>
    </row>
    <row r="1051" spans="1:13" ht="15" x14ac:dyDescent="0.25">
      <c r="A1051" t="s">
        <v>352</v>
      </c>
      <c r="B1051" t="s">
        <v>11</v>
      </c>
      <c r="C1051" t="s">
        <v>12</v>
      </c>
      <c r="D1051" t="s">
        <v>29</v>
      </c>
      <c r="E1051" t="s">
        <v>30</v>
      </c>
      <c r="F1051" t="s">
        <v>40</v>
      </c>
      <c r="G1051" t="s">
        <v>41</v>
      </c>
      <c r="H1051" t="s">
        <v>344</v>
      </c>
      <c r="I1051"/>
      <c r="J1051"/>
      <c r="K1051" t="s">
        <v>4321</v>
      </c>
      <c r="L1051">
        <v>439709</v>
      </c>
      <c r="M1051" t="s">
        <v>2983</v>
      </c>
    </row>
    <row r="1052" spans="1:13" ht="15" x14ac:dyDescent="0.25">
      <c r="A1052" t="s">
        <v>433</v>
      </c>
      <c r="B1052" t="s">
        <v>11</v>
      </c>
      <c r="C1052" t="s">
        <v>12</v>
      </c>
      <c r="D1052" t="s">
        <v>13</v>
      </c>
      <c r="E1052" t="s">
        <v>422</v>
      </c>
      <c r="F1052" t="s">
        <v>434</v>
      </c>
      <c r="G1052" t="s">
        <v>434</v>
      </c>
      <c r="H1052"/>
      <c r="I1052"/>
      <c r="J1052"/>
      <c r="K1052" t="s">
        <v>4322</v>
      </c>
      <c r="L1052">
        <v>107689</v>
      </c>
      <c r="M1052" t="s">
        <v>788</v>
      </c>
    </row>
    <row r="1053" spans="1:13" ht="15" x14ac:dyDescent="0.25">
      <c r="A1053" t="s">
        <v>407</v>
      </c>
      <c r="B1053" t="s">
        <v>11</v>
      </c>
      <c r="C1053" t="s">
        <v>12</v>
      </c>
      <c r="D1053" t="s">
        <v>29</v>
      </c>
      <c r="E1053" t="s">
        <v>30</v>
      </c>
      <c r="F1053" t="s">
        <v>40</v>
      </c>
      <c r="G1053" t="s">
        <v>408</v>
      </c>
      <c r="H1053"/>
      <c r="I1053"/>
      <c r="J1053"/>
      <c r="K1053" t="s">
        <v>4323</v>
      </c>
      <c r="L1053">
        <v>875</v>
      </c>
      <c r="M1053" t="s">
        <v>781</v>
      </c>
    </row>
    <row r="1054" spans="1:13" ht="15" x14ac:dyDescent="0.25">
      <c r="A1054" t="s">
        <v>2429</v>
      </c>
      <c r="B1054" t="s">
        <v>11</v>
      </c>
      <c r="C1054" t="s">
        <v>12</v>
      </c>
      <c r="D1054" t="s">
        <v>29</v>
      </c>
      <c r="E1054" t="s">
        <v>30</v>
      </c>
      <c r="F1054" t="s">
        <v>40</v>
      </c>
      <c r="G1054" t="s">
        <v>408</v>
      </c>
      <c r="H1054"/>
      <c r="I1054"/>
      <c r="J1054"/>
      <c r="K1054" t="s">
        <v>4324</v>
      </c>
      <c r="L1054">
        <v>444305</v>
      </c>
      <c r="M1054" t="s">
        <v>781</v>
      </c>
    </row>
    <row r="1055" spans="1:13" ht="15" x14ac:dyDescent="0.25">
      <c r="A1055" t="s">
        <v>2430</v>
      </c>
      <c r="B1055" t="s">
        <v>11</v>
      </c>
      <c r="C1055" t="s">
        <v>12</v>
      </c>
      <c r="D1055" t="s">
        <v>29</v>
      </c>
      <c r="E1055" t="s">
        <v>30</v>
      </c>
      <c r="F1055" t="s">
        <v>40</v>
      </c>
      <c r="G1055" t="s">
        <v>408</v>
      </c>
      <c r="H1055"/>
      <c r="I1055"/>
      <c r="J1055"/>
      <c r="K1055" t="s">
        <v>4325</v>
      </c>
      <c r="L1055">
        <v>439655</v>
      </c>
      <c r="M1055" t="s">
        <v>781</v>
      </c>
    </row>
    <row r="1056" spans="1:13" ht="15" x14ac:dyDescent="0.25">
      <c r="A1056" t="s">
        <v>1769</v>
      </c>
      <c r="B1056" t="s">
        <v>11</v>
      </c>
      <c r="C1056" t="s">
        <v>12</v>
      </c>
      <c r="D1056" t="s">
        <v>111</v>
      </c>
      <c r="E1056" t="s">
        <v>304</v>
      </c>
      <c r="F1056" t="s">
        <v>305</v>
      </c>
      <c r="G1056" t="s">
        <v>382</v>
      </c>
      <c r="H1056"/>
      <c r="I1056"/>
      <c r="J1056"/>
      <c r="K1056" t="s">
        <v>4326</v>
      </c>
      <c r="L1056">
        <v>5378106</v>
      </c>
      <c r="M1056" t="s">
        <v>2984</v>
      </c>
    </row>
    <row r="1057" spans="1:13" ht="15" x14ac:dyDescent="0.25">
      <c r="A1057" t="s">
        <v>1700</v>
      </c>
      <c r="B1057" t="s">
        <v>11</v>
      </c>
      <c r="C1057" t="s">
        <v>12</v>
      </c>
      <c r="D1057" t="s">
        <v>111</v>
      </c>
      <c r="E1057" t="s">
        <v>1071</v>
      </c>
      <c r="F1057" t="s">
        <v>1701</v>
      </c>
      <c r="G1057" t="s">
        <v>1702</v>
      </c>
      <c r="H1057"/>
      <c r="I1057"/>
      <c r="J1057"/>
      <c r="K1057" t="s">
        <v>4327</v>
      </c>
      <c r="L1057">
        <v>11536537</v>
      </c>
      <c r="M1057" t="s">
        <v>2985</v>
      </c>
    </row>
    <row r="1058" spans="1:13" ht="15" x14ac:dyDescent="0.25">
      <c r="A1058" t="s">
        <v>1374</v>
      </c>
      <c r="B1058" t="s">
        <v>11</v>
      </c>
      <c r="C1058" t="s">
        <v>12</v>
      </c>
      <c r="D1058" t="s">
        <v>24</v>
      </c>
      <c r="E1058" t="s">
        <v>54</v>
      </c>
      <c r="F1058" t="s">
        <v>986</v>
      </c>
      <c r="G1058" t="s">
        <v>986</v>
      </c>
      <c r="H1058"/>
      <c r="I1058"/>
      <c r="J1058"/>
      <c r="K1058" t="s">
        <v>4328</v>
      </c>
      <c r="L1058">
        <v>323074</v>
      </c>
      <c r="M1058" t="s">
        <v>2986</v>
      </c>
    </row>
    <row r="1059" spans="1:13" ht="15" x14ac:dyDescent="0.25">
      <c r="A1059" t="s">
        <v>2431</v>
      </c>
      <c r="B1059" t="s">
        <v>11</v>
      </c>
      <c r="C1059" t="s">
        <v>12</v>
      </c>
      <c r="D1059" t="s">
        <v>24</v>
      </c>
      <c r="E1059" t="s">
        <v>54</v>
      </c>
      <c r="F1059" t="s">
        <v>986</v>
      </c>
      <c r="G1059" t="s">
        <v>986</v>
      </c>
      <c r="H1059"/>
      <c r="I1059"/>
      <c r="J1059"/>
      <c r="K1059" t="s">
        <v>4329</v>
      </c>
      <c r="L1059">
        <v>12900948</v>
      </c>
      <c r="M1059" t="s">
        <v>2986</v>
      </c>
    </row>
    <row r="1060" spans="1:13" ht="15" x14ac:dyDescent="0.25">
      <c r="A1060" t="s">
        <v>1273</v>
      </c>
      <c r="B1060" t="s">
        <v>11</v>
      </c>
      <c r="C1060" t="s">
        <v>12</v>
      </c>
      <c r="D1060" t="s">
        <v>1181</v>
      </c>
      <c r="E1060" t="s">
        <v>1182</v>
      </c>
      <c r="F1060" t="s">
        <v>1183</v>
      </c>
      <c r="G1060" t="s">
        <v>1271</v>
      </c>
      <c r="H1060"/>
      <c r="I1060"/>
      <c r="J1060"/>
      <c r="K1060" t="s">
        <v>4330</v>
      </c>
      <c r="L1060">
        <v>553797</v>
      </c>
      <c r="M1060" t="s">
        <v>1504</v>
      </c>
    </row>
    <row r="1061" spans="1:13" ht="15" x14ac:dyDescent="0.25">
      <c r="A1061" t="s">
        <v>61</v>
      </c>
      <c r="B1061" t="s">
        <v>11</v>
      </c>
      <c r="C1061" t="s">
        <v>12</v>
      </c>
      <c r="D1061" t="s">
        <v>24</v>
      </c>
      <c r="E1061" t="s">
        <v>54</v>
      </c>
      <c r="F1061" t="s">
        <v>62</v>
      </c>
      <c r="G1061" t="s">
        <v>62</v>
      </c>
      <c r="H1061"/>
      <c r="I1061"/>
      <c r="J1061"/>
      <c r="K1061" t="s">
        <v>4331</v>
      </c>
      <c r="L1061">
        <v>5477212</v>
      </c>
      <c r="M1061" t="s">
        <v>726</v>
      </c>
    </row>
    <row r="1062" spans="1:13" ht="15" x14ac:dyDescent="0.25">
      <c r="A1062" t="s">
        <v>1725</v>
      </c>
      <c r="B1062" t="s">
        <v>11</v>
      </c>
      <c r="C1062" t="s">
        <v>12</v>
      </c>
      <c r="D1062" t="s">
        <v>111</v>
      </c>
      <c r="E1062" t="s">
        <v>1071</v>
      </c>
      <c r="F1062" t="s">
        <v>1590</v>
      </c>
      <c r="G1062" t="s">
        <v>1591</v>
      </c>
      <c r="H1062" t="s">
        <v>1651</v>
      </c>
      <c r="I1062"/>
      <c r="J1062"/>
      <c r="K1062" t="s">
        <v>4332</v>
      </c>
      <c r="L1062">
        <v>44446884</v>
      </c>
      <c r="M1062" t="s">
        <v>2987</v>
      </c>
    </row>
    <row r="1063" spans="1:13" ht="15" x14ac:dyDescent="0.25">
      <c r="A1063" t="s">
        <v>2292</v>
      </c>
      <c r="B1063" t="s">
        <v>11</v>
      </c>
      <c r="C1063" t="s">
        <v>12</v>
      </c>
      <c r="D1063" t="s">
        <v>36</v>
      </c>
      <c r="E1063" t="s">
        <v>44</v>
      </c>
      <c r="F1063" t="s">
        <v>1220</v>
      </c>
      <c r="G1063" t="s">
        <v>1220</v>
      </c>
      <c r="H1063"/>
      <c r="I1063"/>
      <c r="J1063"/>
      <c r="K1063" t="s">
        <v>4333</v>
      </c>
      <c r="L1063">
        <v>44584263</v>
      </c>
      <c r="M1063" t="s">
        <v>2348</v>
      </c>
    </row>
    <row r="1064" spans="1:13" ht="15" x14ac:dyDescent="0.25">
      <c r="A1064" t="s">
        <v>1875</v>
      </c>
      <c r="B1064" t="s">
        <v>11</v>
      </c>
      <c r="C1064" t="s">
        <v>12</v>
      </c>
      <c r="D1064" t="s">
        <v>36</v>
      </c>
      <c r="E1064" t="s">
        <v>304</v>
      </c>
      <c r="F1064" t="s">
        <v>305</v>
      </c>
      <c r="G1064" t="s">
        <v>306</v>
      </c>
      <c r="H1064"/>
      <c r="I1064"/>
      <c r="J1064"/>
      <c r="K1064" t="s">
        <v>4334</v>
      </c>
      <c r="L1064">
        <v>10467187</v>
      </c>
      <c r="M1064" t="s">
        <v>2104</v>
      </c>
    </row>
    <row r="1065" spans="1:13" ht="15" x14ac:dyDescent="0.25">
      <c r="A1065" t="s">
        <v>2282</v>
      </c>
      <c r="B1065" t="s">
        <v>11</v>
      </c>
      <c r="C1065" t="s">
        <v>12</v>
      </c>
      <c r="D1065" t="s">
        <v>24</v>
      </c>
      <c r="E1065" t="s">
        <v>54</v>
      </c>
      <c r="F1065" t="s">
        <v>986</v>
      </c>
      <c r="G1065" t="s">
        <v>986</v>
      </c>
      <c r="H1065"/>
      <c r="I1065"/>
      <c r="J1065"/>
      <c r="K1065" t="s">
        <v>4335</v>
      </c>
      <c r="L1065">
        <v>6454747</v>
      </c>
      <c r="M1065" t="s">
        <v>2346</v>
      </c>
    </row>
    <row r="1066" spans="1:13" ht="15" x14ac:dyDescent="0.25">
      <c r="A1066" t="s">
        <v>1205</v>
      </c>
      <c r="B1066" t="s">
        <v>11</v>
      </c>
      <c r="C1066" t="s">
        <v>12</v>
      </c>
      <c r="D1066" t="s">
        <v>24</v>
      </c>
      <c r="E1066" t="s">
        <v>94</v>
      </c>
      <c r="F1066" t="s">
        <v>1199</v>
      </c>
      <c r="G1066" t="s">
        <v>1199</v>
      </c>
      <c r="H1066"/>
      <c r="I1066"/>
      <c r="J1066"/>
      <c r="K1066" t="s">
        <v>4336</v>
      </c>
      <c r="L1066">
        <v>634328</v>
      </c>
      <c r="M1066" t="s">
        <v>1247</v>
      </c>
    </row>
    <row r="1067" spans="1:13" ht="15" x14ac:dyDescent="0.25">
      <c r="A1067" t="s">
        <v>2285</v>
      </c>
      <c r="B1067" t="s">
        <v>11</v>
      </c>
      <c r="C1067" t="s">
        <v>12</v>
      </c>
      <c r="D1067" t="s">
        <v>24</v>
      </c>
      <c r="E1067" t="s">
        <v>54</v>
      </c>
      <c r="F1067" t="s">
        <v>986</v>
      </c>
      <c r="G1067" t="s">
        <v>986</v>
      </c>
      <c r="H1067"/>
      <c r="I1067"/>
      <c r="J1067"/>
      <c r="K1067" t="s">
        <v>4337</v>
      </c>
      <c r="L1067">
        <v>122857</v>
      </c>
      <c r="M1067" t="s">
        <v>2988</v>
      </c>
    </row>
    <row r="1068" spans="1:13" ht="15" x14ac:dyDescent="0.25">
      <c r="A1068" t="s">
        <v>1974</v>
      </c>
      <c r="B1068" t="s">
        <v>11</v>
      </c>
      <c r="C1068" t="s">
        <v>12</v>
      </c>
      <c r="D1068" t="s">
        <v>24</v>
      </c>
      <c r="E1068" t="s">
        <v>54</v>
      </c>
      <c r="F1068" t="s">
        <v>986</v>
      </c>
      <c r="G1068" t="s">
        <v>986</v>
      </c>
      <c r="H1068"/>
      <c r="I1068"/>
      <c r="J1068"/>
      <c r="K1068" t="s">
        <v>4338</v>
      </c>
      <c r="L1068">
        <v>72326</v>
      </c>
      <c r="M1068" t="s">
        <v>2131</v>
      </c>
    </row>
    <row r="1069" spans="1:13" ht="15" x14ac:dyDescent="0.25">
      <c r="A1069" t="s">
        <v>1965</v>
      </c>
      <c r="B1069" t="s">
        <v>11</v>
      </c>
      <c r="C1069" t="s">
        <v>12</v>
      </c>
      <c r="D1069" t="s">
        <v>24</v>
      </c>
      <c r="E1069" t="s">
        <v>54</v>
      </c>
      <c r="F1069" t="s">
        <v>986</v>
      </c>
      <c r="G1069" t="s">
        <v>986</v>
      </c>
      <c r="H1069"/>
      <c r="I1069"/>
      <c r="J1069"/>
      <c r="K1069" t="s">
        <v>4339</v>
      </c>
      <c r="L1069">
        <v>345510</v>
      </c>
      <c r="M1069" t="s">
        <v>2989</v>
      </c>
    </row>
    <row r="1070" spans="1:13" ht="15" x14ac:dyDescent="0.25">
      <c r="A1070" t="s">
        <v>404</v>
      </c>
      <c r="B1070" t="s">
        <v>11</v>
      </c>
      <c r="C1070" t="s">
        <v>12</v>
      </c>
      <c r="D1070" t="s">
        <v>29</v>
      </c>
      <c r="E1070" t="s">
        <v>30</v>
      </c>
      <c r="F1070" t="s">
        <v>31</v>
      </c>
      <c r="G1070" t="s">
        <v>399</v>
      </c>
      <c r="H1070" t="s">
        <v>400</v>
      </c>
      <c r="I1070" t="s">
        <v>401</v>
      </c>
      <c r="J1070"/>
      <c r="K1070" t="s">
        <v>4340</v>
      </c>
      <c r="L1070">
        <v>6508</v>
      </c>
      <c r="M1070" t="s">
        <v>780</v>
      </c>
    </row>
    <row r="1071" spans="1:13" ht="15" x14ac:dyDescent="0.25">
      <c r="A1071" t="s">
        <v>89</v>
      </c>
      <c r="B1071" t="s">
        <v>11</v>
      </c>
      <c r="C1071" t="s">
        <v>12</v>
      </c>
      <c r="D1071" t="s">
        <v>29</v>
      </c>
      <c r="E1071" t="s">
        <v>30</v>
      </c>
      <c r="F1071" t="s">
        <v>31</v>
      </c>
      <c r="G1071" t="s">
        <v>90</v>
      </c>
      <c r="H1071"/>
      <c r="I1071"/>
      <c r="J1071"/>
      <c r="K1071" t="s">
        <v>4341</v>
      </c>
      <c r="L1071">
        <v>3776</v>
      </c>
      <c r="M1071" t="s">
        <v>2990</v>
      </c>
    </row>
    <row r="1072" spans="1:13" ht="15" x14ac:dyDescent="0.25">
      <c r="A1072" t="s">
        <v>1698</v>
      </c>
      <c r="B1072" t="s">
        <v>11</v>
      </c>
      <c r="C1072" t="s">
        <v>12</v>
      </c>
      <c r="D1072" t="s">
        <v>111</v>
      </c>
      <c r="E1072" t="s">
        <v>1071</v>
      </c>
      <c r="F1072" t="s">
        <v>1590</v>
      </c>
      <c r="G1072" t="s">
        <v>1699</v>
      </c>
      <c r="H1072"/>
      <c r="I1072"/>
      <c r="J1072"/>
      <c r="K1072" t="s">
        <v>4342</v>
      </c>
      <c r="L1072">
        <v>44257510</v>
      </c>
      <c r="M1072" t="s">
        <v>2045</v>
      </c>
    </row>
    <row r="1073" spans="1:13" ht="15" x14ac:dyDescent="0.25">
      <c r="A1073" t="s">
        <v>2175</v>
      </c>
      <c r="B1073" t="s">
        <v>11</v>
      </c>
      <c r="C1073" t="s">
        <v>12</v>
      </c>
      <c r="D1073" t="s">
        <v>24</v>
      </c>
      <c r="E1073" t="s">
        <v>54</v>
      </c>
      <c r="F1073" t="s">
        <v>60</v>
      </c>
      <c r="G1073" t="s">
        <v>60</v>
      </c>
      <c r="H1073"/>
      <c r="I1073"/>
      <c r="J1073"/>
      <c r="K1073" t="s">
        <v>4343</v>
      </c>
      <c r="L1073">
        <v>53364454</v>
      </c>
      <c r="M1073" t="s">
        <v>2312</v>
      </c>
    </row>
    <row r="1074" spans="1:13" ht="15" x14ac:dyDescent="0.25">
      <c r="A1074" t="s">
        <v>402</v>
      </c>
      <c r="B1074" t="s">
        <v>11</v>
      </c>
      <c r="C1074" t="s">
        <v>12</v>
      </c>
      <c r="D1074" t="s">
        <v>29</v>
      </c>
      <c r="E1074" t="s">
        <v>30</v>
      </c>
      <c r="F1074" t="s">
        <v>31</v>
      </c>
      <c r="G1074" t="s">
        <v>399</v>
      </c>
      <c r="H1074" t="s">
        <v>400</v>
      </c>
      <c r="I1074" t="s">
        <v>401</v>
      </c>
      <c r="J1074"/>
      <c r="K1074" t="s">
        <v>4344</v>
      </c>
      <c r="L1074">
        <v>5281769</v>
      </c>
      <c r="M1074" t="s">
        <v>2991</v>
      </c>
    </row>
    <row r="1075" spans="1:13" ht="15" x14ac:dyDescent="0.25">
      <c r="A1075" t="s">
        <v>350</v>
      </c>
      <c r="B1075" t="s">
        <v>11</v>
      </c>
      <c r="C1075" t="s">
        <v>12</v>
      </c>
      <c r="D1075" t="s">
        <v>111</v>
      </c>
      <c r="E1075" t="s">
        <v>120</v>
      </c>
      <c r="F1075" t="s">
        <v>308</v>
      </c>
      <c r="G1075" t="s">
        <v>309</v>
      </c>
      <c r="H1075" t="s">
        <v>310</v>
      </c>
      <c r="I1075"/>
      <c r="J1075"/>
      <c r="K1075" t="s">
        <v>4345</v>
      </c>
      <c r="L1075">
        <v>5484066</v>
      </c>
      <c r="M1075" t="s">
        <v>2992</v>
      </c>
    </row>
    <row r="1076" spans="1:13" ht="15" x14ac:dyDescent="0.25">
      <c r="A1076" t="s">
        <v>2291</v>
      </c>
      <c r="B1076" t="s">
        <v>11</v>
      </c>
      <c r="C1076" t="s">
        <v>12</v>
      </c>
      <c r="D1076" t="s">
        <v>101</v>
      </c>
      <c r="E1076" t="s">
        <v>142</v>
      </c>
      <c r="F1076" t="s">
        <v>143</v>
      </c>
      <c r="G1076" t="s">
        <v>144</v>
      </c>
      <c r="H1076"/>
      <c r="I1076"/>
      <c r="J1076"/>
      <c r="K1076" t="s">
        <v>4346</v>
      </c>
      <c r="L1076">
        <v>9861070</v>
      </c>
      <c r="M1076" t="s">
        <v>2993</v>
      </c>
    </row>
    <row r="1077" spans="1:13" ht="15" x14ac:dyDescent="0.25">
      <c r="A1077" t="s">
        <v>1663</v>
      </c>
      <c r="B1077" t="s">
        <v>11</v>
      </c>
      <c r="C1077" t="s">
        <v>12</v>
      </c>
      <c r="D1077" t="s">
        <v>111</v>
      </c>
      <c r="E1077" t="s">
        <v>120</v>
      </c>
      <c r="F1077" t="s">
        <v>308</v>
      </c>
      <c r="G1077" t="s">
        <v>309</v>
      </c>
      <c r="H1077" t="s">
        <v>1614</v>
      </c>
      <c r="I1077"/>
      <c r="J1077"/>
      <c r="K1077" t="s">
        <v>4347</v>
      </c>
      <c r="L1077">
        <v>442617</v>
      </c>
      <c r="M1077" t="s">
        <v>2029</v>
      </c>
    </row>
    <row r="1078" spans="1:13" ht="15" x14ac:dyDescent="0.25">
      <c r="A1078" t="s">
        <v>1822</v>
      </c>
      <c r="B1078" t="s">
        <v>11</v>
      </c>
      <c r="C1078" t="s">
        <v>12</v>
      </c>
      <c r="D1078" t="s">
        <v>36</v>
      </c>
      <c r="E1078" t="s">
        <v>44</v>
      </c>
      <c r="F1078" t="s">
        <v>1823</v>
      </c>
      <c r="G1078" t="s">
        <v>1823</v>
      </c>
      <c r="H1078"/>
      <c r="I1078"/>
      <c r="J1078"/>
      <c r="K1078" t="s">
        <v>4348</v>
      </c>
      <c r="L1078">
        <v>44446855</v>
      </c>
      <c r="M1078" t="s">
        <v>2994</v>
      </c>
    </row>
    <row r="1079" spans="1:13" ht="15" x14ac:dyDescent="0.25">
      <c r="A1079" t="s">
        <v>1627</v>
      </c>
      <c r="B1079" t="s">
        <v>11</v>
      </c>
      <c r="C1079" t="s">
        <v>12</v>
      </c>
      <c r="D1079" t="s">
        <v>111</v>
      </c>
      <c r="E1079" t="s">
        <v>120</v>
      </c>
      <c r="F1079" t="s">
        <v>1592</v>
      </c>
      <c r="G1079" t="s">
        <v>1596</v>
      </c>
      <c r="H1079"/>
      <c r="I1079"/>
      <c r="J1079"/>
      <c r="K1079" t="s">
        <v>4349</v>
      </c>
      <c r="L1079">
        <v>5315202</v>
      </c>
      <c r="M1079" t="s">
        <v>2017</v>
      </c>
    </row>
    <row r="1080" spans="1:13" ht="15" x14ac:dyDescent="0.25">
      <c r="A1080" t="s">
        <v>2203</v>
      </c>
      <c r="B1080" t="s">
        <v>11</v>
      </c>
      <c r="C1080" t="s">
        <v>12</v>
      </c>
      <c r="D1080" t="s">
        <v>24</v>
      </c>
      <c r="E1080" t="s">
        <v>54</v>
      </c>
      <c r="F1080" t="s">
        <v>60</v>
      </c>
      <c r="G1080" t="s">
        <v>60</v>
      </c>
      <c r="H1080"/>
      <c r="I1080"/>
      <c r="J1080"/>
      <c r="K1080" t="s">
        <v>4350</v>
      </c>
      <c r="L1080">
        <v>99856</v>
      </c>
      <c r="M1080" t="s">
        <v>2320</v>
      </c>
    </row>
    <row r="1081" spans="1:13" ht="15" x14ac:dyDescent="0.25">
      <c r="A1081" t="s">
        <v>941</v>
      </c>
      <c r="B1081" t="s">
        <v>11</v>
      </c>
      <c r="C1081" t="s">
        <v>12</v>
      </c>
      <c r="D1081" t="s">
        <v>24</v>
      </c>
      <c r="E1081" t="s">
        <v>54</v>
      </c>
      <c r="F1081" t="s">
        <v>60</v>
      </c>
      <c r="G1081" t="s">
        <v>933</v>
      </c>
      <c r="H1081" t="s">
        <v>934</v>
      </c>
      <c r="I1081"/>
      <c r="J1081"/>
      <c r="K1081" t="s">
        <v>4351</v>
      </c>
      <c r="L1081">
        <v>42608158</v>
      </c>
      <c r="M1081" t="s">
        <v>2995</v>
      </c>
    </row>
    <row r="1082" spans="1:13" ht="15" x14ac:dyDescent="0.25">
      <c r="A1082" t="s">
        <v>914</v>
      </c>
      <c r="B1082" t="s">
        <v>11</v>
      </c>
      <c r="C1082" t="s">
        <v>12</v>
      </c>
      <c r="D1082" t="s">
        <v>24</v>
      </c>
      <c r="E1082" t="s">
        <v>54</v>
      </c>
      <c r="F1082" t="s">
        <v>60</v>
      </c>
      <c r="G1082" t="s">
        <v>60</v>
      </c>
      <c r="H1082"/>
      <c r="I1082"/>
      <c r="J1082"/>
      <c r="K1082" t="s">
        <v>4352</v>
      </c>
      <c r="L1082">
        <v>90805</v>
      </c>
      <c r="M1082" t="s">
        <v>1105</v>
      </c>
    </row>
    <row r="1083" spans="1:13" ht="15" x14ac:dyDescent="0.25">
      <c r="A1083" t="s">
        <v>922</v>
      </c>
      <c r="B1083" t="s">
        <v>11</v>
      </c>
      <c r="C1083" t="s">
        <v>12</v>
      </c>
      <c r="D1083" t="s">
        <v>24</v>
      </c>
      <c r="E1083" t="s">
        <v>54</v>
      </c>
      <c r="F1083" t="s">
        <v>60</v>
      </c>
      <c r="G1083" t="s">
        <v>60</v>
      </c>
      <c r="H1083"/>
      <c r="I1083"/>
      <c r="J1083"/>
      <c r="K1083" t="s">
        <v>4353</v>
      </c>
      <c r="L1083">
        <v>12313020</v>
      </c>
      <c r="M1083" t="s">
        <v>2996</v>
      </c>
    </row>
    <row r="1084" spans="1:13" ht="15" x14ac:dyDescent="0.25">
      <c r="A1084" t="s">
        <v>1975</v>
      </c>
      <c r="B1084" t="s">
        <v>11</v>
      </c>
      <c r="C1084" t="s">
        <v>12</v>
      </c>
      <c r="D1084" t="s">
        <v>24</v>
      </c>
      <c r="E1084" t="s">
        <v>54</v>
      </c>
      <c r="F1084" t="s">
        <v>986</v>
      </c>
      <c r="G1084" t="s">
        <v>986</v>
      </c>
      <c r="H1084"/>
      <c r="I1084"/>
      <c r="J1084"/>
      <c r="K1084" t="s">
        <v>4354</v>
      </c>
      <c r="L1084">
        <v>521518</v>
      </c>
      <c r="M1084" t="s">
        <v>2997</v>
      </c>
    </row>
    <row r="1085" spans="1:13" ht="15" x14ac:dyDescent="0.25">
      <c r="A1085" t="s">
        <v>1973</v>
      </c>
      <c r="B1085" t="s">
        <v>11</v>
      </c>
      <c r="C1085" t="s">
        <v>12</v>
      </c>
      <c r="D1085" t="s">
        <v>24</v>
      </c>
      <c r="E1085" t="s">
        <v>54</v>
      </c>
      <c r="F1085" t="s">
        <v>986</v>
      </c>
      <c r="G1085" t="s">
        <v>986</v>
      </c>
      <c r="H1085"/>
      <c r="I1085"/>
      <c r="J1085"/>
      <c r="K1085" t="s">
        <v>4355</v>
      </c>
      <c r="L1085">
        <v>12359010</v>
      </c>
      <c r="M1085" t="s">
        <v>2997</v>
      </c>
    </row>
    <row r="1086" spans="1:13" ht="15" x14ac:dyDescent="0.25">
      <c r="A1086" t="s">
        <v>1681</v>
      </c>
      <c r="B1086" t="s">
        <v>11</v>
      </c>
      <c r="C1086" t="s">
        <v>12</v>
      </c>
      <c r="D1086" t="s">
        <v>111</v>
      </c>
      <c r="E1086" t="s">
        <v>120</v>
      </c>
      <c r="F1086" t="s">
        <v>1592</v>
      </c>
      <c r="G1086" t="s">
        <v>1620</v>
      </c>
      <c r="H1086"/>
      <c r="I1086"/>
      <c r="J1086"/>
      <c r="K1086" t="s">
        <v>4356</v>
      </c>
      <c r="L1086">
        <v>44446838</v>
      </c>
      <c r="M1086" t="s">
        <v>2998</v>
      </c>
    </row>
    <row r="1087" spans="1:13" ht="15" x14ac:dyDescent="0.25">
      <c r="A1087" t="s">
        <v>132</v>
      </c>
      <c r="B1087" t="s">
        <v>11</v>
      </c>
      <c r="C1087" t="s">
        <v>12</v>
      </c>
      <c r="D1087" t="s">
        <v>29</v>
      </c>
      <c r="E1087" t="s">
        <v>30</v>
      </c>
      <c r="F1087" t="s">
        <v>31</v>
      </c>
      <c r="G1087" t="s">
        <v>133</v>
      </c>
      <c r="H1087"/>
      <c r="I1087"/>
      <c r="J1087"/>
      <c r="K1087" t="s">
        <v>4357</v>
      </c>
      <c r="L1087">
        <v>8257</v>
      </c>
      <c r="M1087" t="s">
        <v>2999</v>
      </c>
    </row>
    <row r="1088" spans="1:13" ht="15" x14ac:dyDescent="0.25">
      <c r="A1088" t="s">
        <v>709</v>
      </c>
      <c r="B1088" t="s">
        <v>11</v>
      </c>
      <c r="C1088" t="s">
        <v>12</v>
      </c>
      <c r="D1088" t="s">
        <v>24</v>
      </c>
      <c r="E1088" t="s">
        <v>54</v>
      </c>
      <c r="F1088" t="s">
        <v>55</v>
      </c>
      <c r="G1088" t="s">
        <v>56</v>
      </c>
      <c r="H1088"/>
      <c r="I1088"/>
      <c r="J1088"/>
      <c r="K1088" t="s">
        <v>4358</v>
      </c>
      <c r="L1088">
        <v>520384</v>
      </c>
      <c r="M1088" t="s">
        <v>3000</v>
      </c>
    </row>
    <row r="1089" spans="1:13" ht="15" x14ac:dyDescent="0.25">
      <c r="A1089" t="s">
        <v>157</v>
      </c>
      <c r="B1089" t="s">
        <v>11</v>
      </c>
      <c r="C1089" t="s">
        <v>12</v>
      </c>
      <c r="D1089" t="s">
        <v>29</v>
      </c>
      <c r="E1089" t="s">
        <v>30</v>
      </c>
      <c r="F1089" t="s">
        <v>105</v>
      </c>
      <c r="G1089" t="s">
        <v>158</v>
      </c>
      <c r="H1089" t="s">
        <v>159</v>
      </c>
      <c r="I1089" t="s">
        <v>160</v>
      </c>
      <c r="J1089"/>
      <c r="K1089" t="s">
        <v>4359</v>
      </c>
      <c r="L1089">
        <v>61020</v>
      </c>
      <c r="M1089" t="s">
        <v>3001</v>
      </c>
    </row>
    <row r="1090" spans="1:13" ht="15" x14ac:dyDescent="0.25">
      <c r="A1090" t="s">
        <v>317</v>
      </c>
      <c r="B1090" t="s">
        <v>11</v>
      </c>
      <c r="C1090" t="s">
        <v>12</v>
      </c>
      <c r="D1090" t="s">
        <v>36</v>
      </c>
      <c r="E1090" t="s">
        <v>44</v>
      </c>
      <c r="F1090" t="s">
        <v>318</v>
      </c>
      <c r="G1090" t="s">
        <v>318</v>
      </c>
      <c r="H1090"/>
      <c r="I1090"/>
      <c r="J1090"/>
      <c r="K1090" t="s">
        <v>4360</v>
      </c>
      <c r="L1090">
        <v>7406</v>
      </c>
      <c r="M1090" t="s">
        <v>3002</v>
      </c>
    </row>
    <row r="1091" spans="1:13" ht="15" x14ac:dyDescent="0.25">
      <c r="A1091" t="s">
        <v>704</v>
      </c>
      <c r="B1091" t="s">
        <v>11</v>
      </c>
      <c r="C1091" t="s">
        <v>12</v>
      </c>
      <c r="D1091" t="s">
        <v>36</v>
      </c>
      <c r="E1091" t="s">
        <v>44</v>
      </c>
      <c r="F1091"/>
      <c r="G1091" t="s">
        <v>44</v>
      </c>
      <c r="H1091"/>
      <c r="I1091"/>
      <c r="J1091"/>
      <c r="K1091" t="s">
        <v>4361</v>
      </c>
      <c r="L1091">
        <v>7947</v>
      </c>
      <c r="M1091" t="s">
        <v>3003</v>
      </c>
    </row>
    <row r="1092" spans="1:13" ht="15" x14ac:dyDescent="0.25">
      <c r="A1092" t="s">
        <v>2432</v>
      </c>
      <c r="B1092" t="s">
        <v>11</v>
      </c>
      <c r="C1092" t="s">
        <v>12</v>
      </c>
      <c r="D1092" t="s">
        <v>101</v>
      </c>
      <c r="E1092" t="s">
        <v>2467</v>
      </c>
      <c r="F1092" t="s">
        <v>2473</v>
      </c>
      <c r="G1092" t="s">
        <v>2487</v>
      </c>
      <c r="H1092"/>
      <c r="I1092"/>
      <c r="J1092"/>
      <c r="K1092" t="s">
        <v>4362</v>
      </c>
      <c r="L1092">
        <v>592622</v>
      </c>
      <c r="M1092" t="s">
        <v>3004</v>
      </c>
    </row>
    <row r="1093" spans="1:13" ht="15" x14ac:dyDescent="0.25">
      <c r="A1093" t="s">
        <v>650</v>
      </c>
      <c r="B1093" t="s">
        <v>11</v>
      </c>
      <c r="C1093" t="s">
        <v>12</v>
      </c>
      <c r="D1093" t="s">
        <v>24</v>
      </c>
      <c r="E1093" t="s">
        <v>25</v>
      </c>
      <c r="F1093" t="s">
        <v>388</v>
      </c>
      <c r="G1093" t="s">
        <v>491</v>
      </c>
      <c r="H1093" t="s">
        <v>492</v>
      </c>
      <c r="I1093"/>
      <c r="J1093"/>
      <c r="K1093" t="s">
        <v>4363</v>
      </c>
      <c r="L1093">
        <v>10430</v>
      </c>
      <c r="M1093" t="s">
        <v>3005</v>
      </c>
    </row>
    <row r="1094" spans="1:13" ht="15" x14ac:dyDescent="0.25">
      <c r="A1094" t="s">
        <v>79</v>
      </c>
      <c r="B1094" t="s">
        <v>11</v>
      </c>
      <c r="C1094" t="s">
        <v>12</v>
      </c>
      <c r="D1094" t="s">
        <v>24</v>
      </c>
      <c r="E1094" t="s">
        <v>25</v>
      </c>
      <c r="F1094" t="s">
        <v>26</v>
      </c>
      <c r="G1094" t="s">
        <v>52</v>
      </c>
      <c r="H1094"/>
      <c r="I1094"/>
      <c r="J1094"/>
      <c r="K1094" t="s">
        <v>4364</v>
      </c>
      <c r="L1094">
        <v>2682</v>
      </c>
      <c r="M1094" t="s">
        <v>3006</v>
      </c>
    </row>
    <row r="1095" spans="1:13" ht="15" x14ac:dyDescent="0.25">
      <c r="A1095" t="s">
        <v>1174</v>
      </c>
      <c r="B1095" t="s">
        <v>11</v>
      </c>
      <c r="C1095" t="s">
        <v>12</v>
      </c>
      <c r="D1095" t="s">
        <v>24</v>
      </c>
      <c r="E1095" t="s">
        <v>25</v>
      </c>
      <c r="F1095" t="s">
        <v>26</v>
      </c>
      <c r="G1095" t="s">
        <v>52</v>
      </c>
      <c r="H1095"/>
      <c r="I1095"/>
      <c r="J1095"/>
      <c r="K1095" t="s">
        <v>4365</v>
      </c>
      <c r="L1095">
        <v>80281</v>
      </c>
      <c r="M1095" t="s">
        <v>3007</v>
      </c>
    </row>
    <row r="1096" spans="1:13" ht="15" x14ac:dyDescent="0.25">
      <c r="A1096" t="s">
        <v>2433</v>
      </c>
      <c r="B1096" t="s">
        <v>11</v>
      </c>
      <c r="C1096" t="s">
        <v>12</v>
      </c>
      <c r="D1096" t="s">
        <v>111</v>
      </c>
      <c r="E1096" t="s">
        <v>304</v>
      </c>
      <c r="F1096" t="s">
        <v>447</v>
      </c>
      <c r="G1096" t="s">
        <v>447</v>
      </c>
      <c r="H1096"/>
      <c r="I1096"/>
      <c r="J1096"/>
      <c r="K1096" t="s">
        <v>4366</v>
      </c>
      <c r="L1096">
        <v>7652</v>
      </c>
      <c r="M1096" t="s">
        <v>3008</v>
      </c>
    </row>
    <row r="1097" spans="1:13" ht="15" x14ac:dyDescent="0.25">
      <c r="A1097" t="s">
        <v>2434</v>
      </c>
      <c r="B1097" t="s">
        <v>11</v>
      </c>
      <c r="C1097" t="s">
        <v>12</v>
      </c>
      <c r="D1097" t="s">
        <v>111</v>
      </c>
      <c r="E1097" t="s">
        <v>304</v>
      </c>
      <c r="F1097" t="s">
        <v>447</v>
      </c>
      <c r="G1097" t="s">
        <v>447</v>
      </c>
      <c r="H1097"/>
      <c r="I1097"/>
      <c r="J1097"/>
      <c r="K1097" t="s">
        <v>4367</v>
      </c>
      <c r="L1097">
        <v>15558051</v>
      </c>
      <c r="M1097" t="s">
        <v>3008</v>
      </c>
    </row>
    <row r="1098" spans="1:13" ht="15" x14ac:dyDescent="0.25">
      <c r="A1098" t="s">
        <v>53</v>
      </c>
      <c r="B1098" t="s">
        <v>11</v>
      </c>
      <c r="C1098" t="s">
        <v>12</v>
      </c>
      <c r="D1098" t="s">
        <v>24</v>
      </c>
      <c r="E1098" t="s">
        <v>54</v>
      </c>
      <c r="F1098" t="s">
        <v>55</v>
      </c>
      <c r="G1098" t="s">
        <v>56</v>
      </c>
      <c r="H1098"/>
      <c r="I1098"/>
      <c r="J1098"/>
      <c r="K1098" t="s">
        <v>4368</v>
      </c>
      <c r="L1098">
        <v>1201530</v>
      </c>
      <c r="M1098" t="s">
        <v>3009</v>
      </c>
    </row>
    <row r="1099" spans="1:13" ht="15" x14ac:dyDescent="0.25">
      <c r="A1099" t="s">
        <v>117</v>
      </c>
      <c r="B1099" t="s">
        <v>11</v>
      </c>
      <c r="C1099" t="s">
        <v>12</v>
      </c>
      <c r="D1099" t="s">
        <v>101</v>
      </c>
      <c r="E1099" t="s">
        <v>118</v>
      </c>
      <c r="F1099"/>
      <c r="G1099" t="s">
        <v>118</v>
      </c>
      <c r="H1099"/>
      <c r="I1099"/>
      <c r="J1099"/>
      <c r="K1099" t="s">
        <v>4369</v>
      </c>
      <c r="L1099">
        <v>26396</v>
      </c>
      <c r="M1099" t="s">
        <v>3010</v>
      </c>
    </row>
    <row r="1100" spans="1:13" ht="15" x14ac:dyDescent="0.25">
      <c r="A1100" t="s">
        <v>1373</v>
      </c>
      <c r="B1100" t="s">
        <v>11</v>
      </c>
      <c r="C1100" t="s">
        <v>12</v>
      </c>
      <c r="D1100" t="s">
        <v>101</v>
      </c>
      <c r="E1100" t="s">
        <v>338</v>
      </c>
      <c r="F1100"/>
      <c r="G1100" t="s">
        <v>338</v>
      </c>
      <c r="H1100"/>
      <c r="I1100"/>
      <c r="J1100"/>
      <c r="K1100" t="s">
        <v>4370</v>
      </c>
      <c r="L1100">
        <v>91691547</v>
      </c>
      <c r="M1100" t="s">
        <v>3011</v>
      </c>
    </row>
    <row r="1101" spans="1:13" ht="15" x14ac:dyDescent="0.25">
      <c r="A1101" t="s">
        <v>1966</v>
      </c>
      <c r="B1101" t="s">
        <v>11</v>
      </c>
      <c r="C1101" t="s">
        <v>12</v>
      </c>
      <c r="D1101" t="s">
        <v>24</v>
      </c>
      <c r="E1101" t="s">
        <v>54</v>
      </c>
      <c r="F1101" t="s">
        <v>55</v>
      </c>
      <c r="G1101" t="s">
        <v>97</v>
      </c>
      <c r="H1101"/>
      <c r="I1101"/>
      <c r="J1101"/>
      <c r="K1101" t="s">
        <v>4371</v>
      </c>
      <c r="L1101">
        <v>20960</v>
      </c>
      <c r="M1101" t="s">
        <v>3012</v>
      </c>
    </row>
    <row r="1102" spans="1:13" ht="15" x14ac:dyDescent="0.25">
      <c r="A1102" t="s">
        <v>1019</v>
      </c>
      <c r="B1102" t="s">
        <v>11</v>
      </c>
      <c r="C1102" t="s">
        <v>12</v>
      </c>
      <c r="D1102" t="s">
        <v>29</v>
      </c>
      <c r="E1102" t="s">
        <v>30</v>
      </c>
      <c r="F1102" t="s">
        <v>105</v>
      </c>
      <c r="G1102" t="s">
        <v>106</v>
      </c>
      <c r="H1102" t="s">
        <v>1020</v>
      </c>
      <c r="I1102" t="s">
        <v>1021</v>
      </c>
      <c r="J1102" t="s">
        <v>2488</v>
      </c>
      <c r="K1102" t="s">
        <v>4372</v>
      </c>
      <c r="L1102">
        <v>10281</v>
      </c>
      <c r="M1102" t="s">
        <v>3013</v>
      </c>
    </row>
    <row r="1103" spans="1:13" ht="15" x14ac:dyDescent="0.25">
      <c r="A1103" t="s">
        <v>1732</v>
      </c>
      <c r="B1103" t="s">
        <v>11</v>
      </c>
      <c r="C1103" t="s">
        <v>12</v>
      </c>
      <c r="D1103" t="s">
        <v>36</v>
      </c>
      <c r="E1103" t="s">
        <v>37</v>
      </c>
      <c r="F1103" t="s">
        <v>38</v>
      </c>
      <c r="G1103" t="s">
        <v>38</v>
      </c>
      <c r="H1103"/>
      <c r="I1103"/>
      <c r="J1103"/>
      <c r="K1103" t="s">
        <v>4373</v>
      </c>
      <c r="L1103">
        <v>596375</v>
      </c>
      <c r="M1103" t="s">
        <v>3014</v>
      </c>
    </row>
    <row r="1104" spans="1:13" ht="15" x14ac:dyDescent="0.25">
      <c r="A1104" t="s">
        <v>2256</v>
      </c>
      <c r="B1104" t="s">
        <v>11</v>
      </c>
      <c r="C1104" t="s">
        <v>12</v>
      </c>
      <c r="D1104" t="s">
        <v>24</v>
      </c>
      <c r="E1104" t="s">
        <v>54</v>
      </c>
      <c r="F1104" t="s">
        <v>60</v>
      </c>
      <c r="G1104" t="s">
        <v>60</v>
      </c>
      <c r="H1104"/>
      <c r="I1104"/>
      <c r="J1104"/>
      <c r="K1104" t="s">
        <v>4374</v>
      </c>
      <c r="L1104">
        <v>1796220</v>
      </c>
      <c r="M1104" t="s">
        <v>3015</v>
      </c>
    </row>
    <row r="1105" spans="1:13" ht="15" x14ac:dyDescent="0.25">
      <c r="A1105" t="s">
        <v>978</v>
      </c>
      <c r="B1105" t="s">
        <v>11</v>
      </c>
      <c r="C1105" t="s">
        <v>12</v>
      </c>
      <c r="D1105" t="s">
        <v>24</v>
      </c>
      <c r="E1105" t="s">
        <v>54</v>
      </c>
      <c r="F1105" t="s">
        <v>60</v>
      </c>
      <c r="G1105" t="s">
        <v>60</v>
      </c>
      <c r="H1105"/>
      <c r="I1105"/>
      <c r="J1105"/>
      <c r="K1105" t="s">
        <v>4375</v>
      </c>
      <c r="L1105">
        <v>16217634</v>
      </c>
      <c r="M1105" t="s">
        <v>3015</v>
      </c>
    </row>
    <row r="1106" spans="1:13" ht="15" x14ac:dyDescent="0.25">
      <c r="A1106" t="s">
        <v>924</v>
      </c>
      <c r="B1106" t="s">
        <v>11</v>
      </c>
      <c r="C1106" t="s">
        <v>12</v>
      </c>
      <c r="D1106" t="s">
        <v>24</v>
      </c>
      <c r="E1106" t="s">
        <v>54</v>
      </c>
      <c r="F1106" t="s">
        <v>60</v>
      </c>
      <c r="G1106" t="s">
        <v>60</v>
      </c>
      <c r="H1106"/>
      <c r="I1106"/>
      <c r="J1106"/>
      <c r="K1106" t="s">
        <v>4376</v>
      </c>
      <c r="L1106">
        <v>289151</v>
      </c>
      <c r="M1106" t="s">
        <v>3015</v>
      </c>
    </row>
    <row r="1107" spans="1:13" ht="15" x14ac:dyDescent="0.25">
      <c r="A1107" t="s">
        <v>951</v>
      </c>
      <c r="B1107" t="s">
        <v>11</v>
      </c>
      <c r="C1107" t="s">
        <v>12</v>
      </c>
      <c r="D1107" t="s">
        <v>24</v>
      </c>
      <c r="E1107" t="s">
        <v>54</v>
      </c>
      <c r="F1107" t="s">
        <v>60</v>
      </c>
      <c r="G1107" t="s">
        <v>60</v>
      </c>
      <c r="H1107"/>
      <c r="I1107"/>
      <c r="J1107"/>
      <c r="K1107" t="s">
        <v>4377</v>
      </c>
      <c r="L1107">
        <v>5489258</v>
      </c>
      <c r="M1107" t="s">
        <v>3015</v>
      </c>
    </row>
    <row r="1108" spans="1:13" ht="15" x14ac:dyDescent="0.25">
      <c r="A1108" t="s">
        <v>1423</v>
      </c>
      <c r="B1108" t="s">
        <v>11</v>
      </c>
      <c r="C1108" t="s">
        <v>12</v>
      </c>
      <c r="D1108" t="s">
        <v>24</v>
      </c>
      <c r="E1108" t="s">
        <v>54</v>
      </c>
      <c r="F1108" t="s">
        <v>60</v>
      </c>
      <c r="G1108" t="s">
        <v>60</v>
      </c>
      <c r="H1108"/>
      <c r="I1108"/>
      <c r="J1108"/>
      <c r="K1108" t="s">
        <v>4378</v>
      </c>
      <c r="L1108">
        <v>162639080</v>
      </c>
      <c r="M1108" t="s">
        <v>3015</v>
      </c>
    </row>
    <row r="1109" spans="1:13" ht="15" x14ac:dyDescent="0.25">
      <c r="A1109" t="s">
        <v>1421</v>
      </c>
      <c r="B1109" t="s">
        <v>11</v>
      </c>
      <c r="C1109" t="s">
        <v>12</v>
      </c>
      <c r="D1109" t="s">
        <v>24</v>
      </c>
      <c r="E1109" t="s">
        <v>54</v>
      </c>
      <c r="F1109" t="s">
        <v>60</v>
      </c>
      <c r="G1109" t="s">
        <v>60</v>
      </c>
      <c r="H1109"/>
      <c r="I1109"/>
      <c r="J1109"/>
      <c r="K1109" t="s">
        <v>4379</v>
      </c>
      <c r="L1109">
        <v>6399214</v>
      </c>
      <c r="M1109" t="s">
        <v>3015</v>
      </c>
    </row>
    <row r="1110" spans="1:13" ht="15" x14ac:dyDescent="0.25">
      <c r="A1110" t="s">
        <v>1206</v>
      </c>
      <c r="B1110" t="s">
        <v>11</v>
      </c>
      <c r="C1110" t="s">
        <v>12</v>
      </c>
      <c r="D1110" t="s">
        <v>24</v>
      </c>
      <c r="E1110" t="s">
        <v>54</v>
      </c>
      <c r="F1110" t="s">
        <v>60</v>
      </c>
      <c r="G1110" t="s">
        <v>60</v>
      </c>
      <c r="H1110"/>
      <c r="I1110"/>
      <c r="J1110"/>
      <c r="K1110" t="s">
        <v>4380</v>
      </c>
      <c r="L1110">
        <v>519960</v>
      </c>
      <c r="M1110" t="s">
        <v>3016</v>
      </c>
    </row>
    <row r="1111" spans="1:13" ht="15" x14ac:dyDescent="0.25">
      <c r="A1111" t="s">
        <v>2197</v>
      </c>
      <c r="B1111" t="s">
        <v>11</v>
      </c>
      <c r="C1111" t="s">
        <v>12</v>
      </c>
      <c r="D1111" t="s">
        <v>24</v>
      </c>
      <c r="E1111" t="s">
        <v>54</v>
      </c>
      <c r="F1111" t="s">
        <v>60</v>
      </c>
      <c r="G1111" t="s">
        <v>60</v>
      </c>
      <c r="H1111"/>
      <c r="I1111"/>
      <c r="J1111"/>
      <c r="K1111" t="s">
        <v>4381</v>
      </c>
      <c r="L1111">
        <v>11830550</v>
      </c>
      <c r="M1111" t="s">
        <v>3017</v>
      </c>
    </row>
    <row r="1112" spans="1:13" ht="15" x14ac:dyDescent="0.25">
      <c r="A1112" t="s">
        <v>1317</v>
      </c>
      <c r="B1112" t="s">
        <v>11</v>
      </c>
      <c r="C1112" t="s">
        <v>12</v>
      </c>
      <c r="D1112" t="s">
        <v>228</v>
      </c>
      <c r="E1112" t="s">
        <v>233</v>
      </c>
      <c r="F1112" t="s">
        <v>692</v>
      </c>
      <c r="G1112" t="s">
        <v>692</v>
      </c>
      <c r="H1112"/>
      <c r="I1112"/>
      <c r="J1112"/>
      <c r="K1112" t="s">
        <v>4382</v>
      </c>
      <c r="L1112">
        <v>25203405</v>
      </c>
      <c r="M1112" t="s">
        <v>3018</v>
      </c>
    </row>
    <row r="1113" spans="1:13" ht="15" x14ac:dyDescent="0.25">
      <c r="A1113" t="s">
        <v>942</v>
      </c>
      <c r="B1113" t="s">
        <v>11</v>
      </c>
      <c r="C1113" t="s">
        <v>12</v>
      </c>
      <c r="D1113" t="s">
        <v>24</v>
      </c>
      <c r="E1113" t="s">
        <v>54</v>
      </c>
      <c r="F1113" t="s">
        <v>60</v>
      </c>
      <c r="G1113" t="s">
        <v>933</v>
      </c>
      <c r="H1113" t="s">
        <v>934</v>
      </c>
      <c r="I1113"/>
      <c r="J1113"/>
      <c r="K1113" t="s">
        <v>4383</v>
      </c>
      <c r="L1113">
        <v>10899740</v>
      </c>
      <c r="M1113" t="s">
        <v>3019</v>
      </c>
    </row>
    <row r="1114" spans="1:13" ht="15" x14ac:dyDescent="0.25">
      <c r="A1114" t="s">
        <v>940</v>
      </c>
      <c r="B1114" t="s">
        <v>11</v>
      </c>
      <c r="C1114" t="s">
        <v>12</v>
      </c>
      <c r="D1114" t="s">
        <v>24</v>
      </c>
      <c r="E1114" t="s">
        <v>54</v>
      </c>
      <c r="F1114" t="s">
        <v>60</v>
      </c>
      <c r="G1114" t="s">
        <v>933</v>
      </c>
      <c r="H1114" t="s">
        <v>934</v>
      </c>
      <c r="I1114"/>
      <c r="J1114"/>
      <c r="K1114" t="s">
        <v>4384</v>
      </c>
      <c r="L1114">
        <v>12305247</v>
      </c>
      <c r="M1114" t="s">
        <v>3019</v>
      </c>
    </row>
    <row r="1115" spans="1:13" ht="15" x14ac:dyDescent="0.25">
      <c r="A1115" t="s">
        <v>962</v>
      </c>
      <c r="B1115" t="s">
        <v>11</v>
      </c>
      <c r="C1115" t="s">
        <v>12</v>
      </c>
      <c r="D1115" t="s">
        <v>24</v>
      </c>
      <c r="E1115" t="s">
        <v>54</v>
      </c>
      <c r="F1115" t="s">
        <v>60</v>
      </c>
      <c r="G1115" t="s">
        <v>933</v>
      </c>
      <c r="H1115" t="s">
        <v>934</v>
      </c>
      <c r="I1115"/>
      <c r="J1115"/>
      <c r="K1115" t="s">
        <v>4385</v>
      </c>
      <c r="L1115">
        <v>91746537</v>
      </c>
      <c r="M1115" t="s">
        <v>3019</v>
      </c>
    </row>
    <row r="1116" spans="1:13" ht="15" x14ac:dyDescent="0.25">
      <c r="A1116" t="s">
        <v>912</v>
      </c>
      <c r="B1116" t="s">
        <v>11</v>
      </c>
      <c r="C1116" t="s">
        <v>12</v>
      </c>
      <c r="D1116" t="s">
        <v>24</v>
      </c>
      <c r="E1116" t="s">
        <v>54</v>
      </c>
      <c r="F1116" t="s">
        <v>60</v>
      </c>
      <c r="G1116" t="s">
        <v>913</v>
      </c>
      <c r="H1116"/>
      <c r="I1116"/>
      <c r="J1116"/>
      <c r="K1116" t="s">
        <v>4386</v>
      </c>
      <c r="L1116">
        <v>12309744</v>
      </c>
      <c r="M1116" t="s">
        <v>3020</v>
      </c>
    </row>
    <row r="1117" spans="1:13" ht="15" x14ac:dyDescent="0.25">
      <c r="A1117" t="s">
        <v>936</v>
      </c>
      <c r="B1117" t="s">
        <v>11</v>
      </c>
      <c r="C1117" t="s">
        <v>12</v>
      </c>
      <c r="D1117" t="s">
        <v>24</v>
      </c>
      <c r="E1117" t="s">
        <v>54</v>
      </c>
      <c r="F1117" t="s">
        <v>60</v>
      </c>
      <c r="G1117" t="s">
        <v>60</v>
      </c>
      <c r="H1117"/>
      <c r="I1117"/>
      <c r="J1117"/>
      <c r="K1117" t="s">
        <v>4387</v>
      </c>
      <c r="L1117">
        <v>10987383</v>
      </c>
      <c r="M1117" t="s">
        <v>3021</v>
      </c>
    </row>
    <row r="1118" spans="1:13" ht="15" x14ac:dyDescent="0.25">
      <c r="A1118" t="s">
        <v>2259</v>
      </c>
      <c r="B1118" t="s">
        <v>11</v>
      </c>
      <c r="C1118" t="s">
        <v>12</v>
      </c>
      <c r="D1118" t="s">
        <v>24</v>
      </c>
      <c r="E1118" t="s">
        <v>54</v>
      </c>
      <c r="F1118" t="s">
        <v>60</v>
      </c>
      <c r="G1118" t="s">
        <v>933</v>
      </c>
      <c r="H1118" t="s">
        <v>934</v>
      </c>
      <c r="I1118"/>
      <c r="J1118"/>
      <c r="K1118" t="s">
        <v>4388</v>
      </c>
      <c r="L1118">
        <v>13854255</v>
      </c>
      <c r="M1118" t="s">
        <v>3022</v>
      </c>
    </row>
    <row r="1119" spans="1:13" ht="15" x14ac:dyDescent="0.25">
      <c r="A1119" t="s">
        <v>680</v>
      </c>
      <c r="B1119" t="s">
        <v>11</v>
      </c>
      <c r="C1119" t="s">
        <v>12</v>
      </c>
      <c r="D1119" t="s">
        <v>24</v>
      </c>
      <c r="E1119" t="s">
        <v>54</v>
      </c>
      <c r="F1119" t="s">
        <v>463</v>
      </c>
      <c r="G1119" t="s">
        <v>464</v>
      </c>
      <c r="H1119" t="s">
        <v>679</v>
      </c>
      <c r="I1119"/>
      <c r="J1119"/>
      <c r="K1119" t="s">
        <v>4389</v>
      </c>
      <c r="L1119">
        <v>133556427</v>
      </c>
      <c r="M1119" t="s">
        <v>3023</v>
      </c>
    </row>
    <row r="1120" spans="1:13" ht="15" x14ac:dyDescent="0.25">
      <c r="A1120" t="s">
        <v>681</v>
      </c>
      <c r="B1120" t="s">
        <v>11</v>
      </c>
      <c r="C1120" t="s">
        <v>12</v>
      </c>
      <c r="D1120" t="s">
        <v>24</v>
      </c>
      <c r="E1120" t="s">
        <v>54</v>
      </c>
      <c r="F1120" t="s">
        <v>463</v>
      </c>
      <c r="G1120" t="s">
        <v>464</v>
      </c>
      <c r="H1120" t="s">
        <v>679</v>
      </c>
      <c r="I1120"/>
      <c r="J1120"/>
      <c r="K1120" t="s">
        <v>4390</v>
      </c>
      <c r="L1120">
        <v>10455173</v>
      </c>
      <c r="M1120" t="s">
        <v>3023</v>
      </c>
    </row>
    <row r="1121" spans="1:13" ht="15" x14ac:dyDescent="0.25">
      <c r="A1121" t="s">
        <v>678</v>
      </c>
      <c r="B1121" t="s">
        <v>11</v>
      </c>
      <c r="C1121" t="s">
        <v>12</v>
      </c>
      <c r="D1121" t="s">
        <v>24</v>
      </c>
      <c r="E1121" t="s">
        <v>54</v>
      </c>
      <c r="F1121" t="s">
        <v>463</v>
      </c>
      <c r="G1121" t="s">
        <v>464</v>
      </c>
      <c r="H1121" t="s">
        <v>679</v>
      </c>
      <c r="I1121"/>
      <c r="J1121"/>
      <c r="K1121" t="s">
        <v>4391</v>
      </c>
      <c r="L1121">
        <v>10502557</v>
      </c>
      <c r="M1121" t="s">
        <v>3023</v>
      </c>
    </row>
    <row r="1122" spans="1:13" ht="15" x14ac:dyDescent="0.25">
      <c r="A1122" t="s">
        <v>2435</v>
      </c>
      <c r="B1122" t="s">
        <v>11</v>
      </c>
      <c r="C1122" t="s">
        <v>12</v>
      </c>
      <c r="D1122" t="s">
        <v>24</v>
      </c>
      <c r="E1122" t="s">
        <v>54</v>
      </c>
      <c r="F1122" t="s">
        <v>463</v>
      </c>
      <c r="G1122" t="s">
        <v>464</v>
      </c>
      <c r="H1122" t="s">
        <v>679</v>
      </c>
      <c r="I1122"/>
      <c r="J1122"/>
      <c r="K1122" t="s">
        <v>4392</v>
      </c>
      <c r="L1122">
        <v>169440892</v>
      </c>
      <c r="M1122" t="s">
        <v>3023</v>
      </c>
    </row>
    <row r="1123" spans="1:13" ht="15" x14ac:dyDescent="0.25">
      <c r="A1123" t="s">
        <v>682</v>
      </c>
      <c r="B1123" t="s">
        <v>11</v>
      </c>
      <c r="C1123" t="s">
        <v>12</v>
      </c>
      <c r="D1123" t="s">
        <v>24</v>
      </c>
      <c r="E1123" t="s">
        <v>54</v>
      </c>
      <c r="F1123" t="s">
        <v>463</v>
      </c>
      <c r="G1123" t="s">
        <v>464</v>
      </c>
      <c r="H1123" t="s">
        <v>679</v>
      </c>
      <c r="I1123"/>
      <c r="J1123"/>
      <c r="K1123" t="s">
        <v>4393</v>
      </c>
      <c r="L1123">
        <v>146014941</v>
      </c>
      <c r="M1123" t="s">
        <v>3023</v>
      </c>
    </row>
    <row r="1124" spans="1:13" ht="15" x14ac:dyDescent="0.25">
      <c r="A1124" t="s">
        <v>2436</v>
      </c>
      <c r="B1124" t="s">
        <v>11</v>
      </c>
      <c r="C1124" t="s">
        <v>12</v>
      </c>
      <c r="D1124" t="s">
        <v>24</v>
      </c>
      <c r="E1124" t="s">
        <v>54</v>
      </c>
      <c r="F1124" t="s">
        <v>463</v>
      </c>
      <c r="G1124" t="s">
        <v>464</v>
      </c>
      <c r="H1124" t="s">
        <v>679</v>
      </c>
      <c r="I1124"/>
      <c r="J1124"/>
      <c r="K1124" t="s">
        <v>4394</v>
      </c>
      <c r="L1124">
        <v>74493487</v>
      </c>
      <c r="M1124" t="s">
        <v>3023</v>
      </c>
    </row>
    <row r="1125" spans="1:13" ht="15" x14ac:dyDescent="0.25">
      <c r="A1125" t="s">
        <v>414</v>
      </c>
      <c r="B1125" t="s">
        <v>11</v>
      </c>
      <c r="C1125" t="s">
        <v>12</v>
      </c>
      <c r="D1125" t="s">
        <v>29</v>
      </c>
      <c r="E1125" t="s">
        <v>30</v>
      </c>
      <c r="F1125" t="s">
        <v>31</v>
      </c>
      <c r="G1125" t="s">
        <v>399</v>
      </c>
      <c r="H1125" t="s">
        <v>400</v>
      </c>
      <c r="I1125" t="s">
        <v>401</v>
      </c>
      <c r="J1125"/>
      <c r="K1125" t="s">
        <v>4395</v>
      </c>
      <c r="L1125">
        <v>153946</v>
      </c>
      <c r="M1125" t="s">
        <v>3024</v>
      </c>
    </row>
    <row r="1126" spans="1:13" ht="15" x14ac:dyDescent="0.25">
      <c r="A1126" t="s">
        <v>416</v>
      </c>
      <c r="B1126" t="s">
        <v>11</v>
      </c>
      <c r="C1126" t="s">
        <v>12</v>
      </c>
      <c r="D1126" t="s">
        <v>29</v>
      </c>
      <c r="E1126" t="s">
        <v>30</v>
      </c>
      <c r="F1126" t="s">
        <v>31</v>
      </c>
      <c r="G1126" t="s">
        <v>399</v>
      </c>
      <c r="H1126" t="s">
        <v>400</v>
      </c>
      <c r="I1126" t="s">
        <v>401</v>
      </c>
      <c r="J1126"/>
      <c r="K1126" t="s">
        <v>4396</v>
      </c>
      <c r="L1126">
        <v>3802778</v>
      </c>
      <c r="M1126" t="s">
        <v>3024</v>
      </c>
    </row>
    <row r="1127" spans="1:13" ht="15" x14ac:dyDescent="0.25">
      <c r="A1127" t="s">
        <v>415</v>
      </c>
      <c r="B1127" t="s">
        <v>11</v>
      </c>
      <c r="C1127" t="s">
        <v>12</v>
      </c>
      <c r="D1127" t="s">
        <v>29</v>
      </c>
      <c r="E1127" t="s">
        <v>30</v>
      </c>
      <c r="F1127" t="s">
        <v>31</v>
      </c>
      <c r="G1127" t="s">
        <v>399</v>
      </c>
      <c r="H1127" t="s">
        <v>400</v>
      </c>
      <c r="I1127" t="s">
        <v>401</v>
      </c>
      <c r="J1127"/>
      <c r="K1127" t="s">
        <v>4397</v>
      </c>
      <c r="L1127">
        <v>5927076</v>
      </c>
      <c r="M1127" t="s">
        <v>3024</v>
      </c>
    </row>
    <row r="1128" spans="1:13" ht="15" x14ac:dyDescent="0.25">
      <c r="A1128" t="s">
        <v>413</v>
      </c>
      <c r="B1128" t="s">
        <v>11</v>
      </c>
      <c r="C1128" t="s">
        <v>12</v>
      </c>
      <c r="D1128" t="s">
        <v>29</v>
      </c>
      <c r="E1128" t="s">
        <v>30</v>
      </c>
      <c r="F1128" t="s">
        <v>31</v>
      </c>
      <c r="G1128" t="s">
        <v>399</v>
      </c>
      <c r="H1128" t="s">
        <v>400</v>
      </c>
      <c r="I1128" t="s">
        <v>401</v>
      </c>
      <c r="J1128"/>
      <c r="K1128" t="s">
        <v>4398</v>
      </c>
      <c r="L1128">
        <v>6325421</v>
      </c>
      <c r="M1128" t="s">
        <v>3024</v>
      </c>
    </row>
    <row r="1129" spans="1:13" ht="15" x14ac:dyDescent="0.25">
      <c r="A1129" t="s">
        <v>1382</v>
      </c>
      <c r="B1129" t="s">
        <v>11</v>
      </c>
      <c r="C1129" t="s">
        <v>12</v>
      </c>
      <c r="D1129" t="s">
        <v>29</v>
      </c>
      <c r="E1129" t="s">
        <v>30</v>
      </c>
      <c r="F1129" t="s">
        <v>31</v>
      </c>
      <c r="G1129" t="s">
        <v>399</v>
      </c>
      <c r="H1129" t="s">
        <v>400</v>
      </c>
      <c r="I1129" t="s">
        <v>401</v>
      </c>
      <c r="J1129"/>
      <c r="K1129" t="s">
        <v>4399</v>
      </c>
      <c r="L1129">
        <v>129316855</v>
      </c>
      <c r="M1129" t="s">
        <v>3024</v>
      </c>
    </row>
    <row r="1130" spans="1:13" ht="15" x14ac:dyDescent="0.25">
      <c r="A1130" t="s">
        <v>2437</v>
      </c>
      <c r="B1130" t="s">
        <v>11</v>
      </c>
      <c r="C1130" t="s">
        <v>12</v>
      </c>
      <c r="D1130" t="s">
        <v>29</v>
      </c>
      <c r="E1130" t="s">
        <v>30</v>
      </c>
      <c r="F1130" t="s">
        <v>31</v>
      </c>
      <c r="G1130" t="s">
        <v>399</v>
      </c>
      <c r="H1130" t="s">
        <v>400</v>
      </c>
      <c r="I1130" t="s">
        <v>401</v>
      </c>
      <c r="J1130"/>
      <c r="K1130" t="s">
        <v>4400</v>
      </c>
      <c r="L1130">
        <v>118710978</v>
      </c>
      <c r="M1130" t="s">
        <v>3024</v>
      </c>
    </row>
    <row r="1131" spans="1:13" ht="15" x14ac:dyDescent="0.25">
      <c r="A1131" t="s">
        <v>587</v>
      </c>
      <c r="B1131" t="s">
        <v>11</v>
      </c>
      <c r="C1131" t="s">
        <v>12</v>
      </c>
      <c r="D1131" t="s">
        <v>13</v>
      </c>
      <c r="E1131" t="s">
        <v>14</v>
      </c>
      <c r="F1131" t="s">
        <v>429</v>
      </c>
      <c r="G1131" t="s">
        <v>429</v>
      </c>
      <c r="H1131"/>
      <c r="I1131"/>
      <c r="J1131"/>
      <c r="K1131" t="s">
        <v>4401</v>
      </c>
      <c r="L1131">
        <v>6590</v>
      </c>
      <c r="M1131" t="s">
        <v>3025</v>
      </c>
    </row>
    <row r="1132" spans="1:13" ht="15" x14ac:dyDescent="0.25">
      <c r="A1132" t="s">
        <v>645</v>
      </c>
      <c r="B1132" t="s">
        <v>11</v>
      </c>
      <c r="C1132" t="s">
        <v>12</v>
      </c>
      <c r="D1132" t="s">
        <v>24</v>
      </c>
      <c r="E1132" t="s">
        <v>25</v>
      </c>
      <c r="F1132" t="s">
        <v>388</v>
      </c>
      <c r="G1132" t="s">
        <v>513</v>
      </c>
      <c r="H1132"/>
      <c r="I1132"/>
      <c r="J1132"/>
      <c r="K1132" t="s">
        <v>4402</v>
      </c>
      <c r="L1132">
        <v>20653</v>
      </c>
      <c r="M1132" t="s">
        <v>3026</v>
      </c>
    </row>
    <row r="1133" spans="1:13" ht="15" x14ac:dyDescent="0.25">
      <c r="A1133" t="s">
        <v>23</v>
      </c>
      <c r="B1133" t="s">
        <v>11</v>
      </c>
      <c r="C1133" t="s">
        <v>12</v>
      </c>
      <c r="D1133" t="s">
        <v>24</v>
      </c>
      <c r="E1133" t="s">
        <v>25</v>
      </c>
      <c r="F1133" t="s">
        <v>26</v>
      </c>
      <c r="G1133" t="s">
        <v>26</v>
      </c>
      <c r="H1133"/>
      <c r="I1133"/>
      <c r="J1133"/>
      <c r="K1133" t="s">
        <v>4403</v>
      </c>
      <c r="L1133">
        <v>18827</v>
      </c>
      <c r="M1133" t="s">
        <v>3027</v>
      </c>
    </row>
    <row r="1134" spans="1:13" ht="15" x14ac:dyDescent="0.25">
      <c r="A1134" t="s">
        <v>134</v>
      </c>
      <c r="B1134" t="s">
        <v>11</v>
      </c>
      <c r="C1134" t="s">
        <v>12</v>
      </c>
      <c r="D1134" t="s">
        <v>29</v>
      </c>
      <c r="E1134" t="s">
        <v>30</v>
      </c>
      <c r="F1134" t="s">
        <v>31</v>
      </c>
      <c r="G1134" t="s">
        <v>133</v>
      </c>
      <c r="H1134"/>
      <c r="I1134"/>
      <c r="J1134"/>
      <c r="K1134" t="s">
        <v>4404</v>
      </c>
      <c r="L1134">
        <v>5352451</v>
      </c>
      <c r="M1134" t="s">
        <v>3028</v>
      </c>
    </row>
    <row r="1135" spans="1:13" ht="15" x14ac:dyDescent="0.25">
      <c r="A1135" t="s">
        <v>1479</v>
      </c>
      <c r="B1135" t="s">
        <v>11</v>
      </c>
      <c r="C1135" t="s">
        <v>12</v>
      </c>
      <c r="D1135" t="s">
        <v>36</v>
      </c>
      <c r="E1135" t="s">
        <v>44</v>
      </c>
      <c r="F1135" t="s">
        <v>45</v>
      </c>
      <c r="G1135" t="s">
        <v>45</v>
      </c>
      <c r="H1135"/>
      <c r="I1135"/>
      <c r="J1135"/>
      <c r="K1135" t="s">
        <v>4405</v>
      </c>
      <c r="L1135">
        <v>7738</v>
      </c>
      <c r="M1135" t="s">
        <v>3029</v>
      </c>
    </row>
    <row r="1136" spans="1:13" ht="15" x14ac:dyDescent="0.25">
      <c r="A1136" t="s">
        <v>1193</v>
      </c>
      <c r="B1136" t="s">
        <v>11</v>
      </c>
      <c r="C1136" t="s">
        <v>12</v>
      </c>
      <c r="D1136" t="s">
        <v>24</v>
      </c>
      <c r="E1136" t="s">
        <v>54</v>
      </c>
      <c r="F1136" t="s">
        <v>60</v>
      </c>
      <c r="G1136" t="s">
        <v>60</v>
      </c>
      <c r="H1136"/>
      <c r="I1136"/>
      <c r="J1136"/>
      <c r="K1136" t="s">
        <v>4406</v>
      </c>
      <c r="L1136">
        <v>5353015</v>
      </c>
      <c r="M1136" t="s">
        <v>3030</v>
      </c>
    </row>
    <row r="1137" spans="1:13" ht="15" x14ac:dyDescent="0.25">
      <c r="A1137" t="s">
        <v>216</v>
      </c>
      <c r="B1137" t="s">
        <v>11</v>
      </c>
      <c r="C1137" t="s">
        <v>12</v>
      </c>
      <c r="D1137" t="s">
        <v>29</v>
      </c>
      <c r="E1137" t="s">
        <v>30</v>
      </c>
      <c r="F1137" t="s">
        <v>105</v>
      </c>
      <c r="G1137" t="s">
        <v>114</v>
      </c>
      <c r="H1137" t="s">
        <v>217</v>
      </c>
      <c r="I1137"/>
      <c r="J1137"/>
      <c r="K1137" t="s">
        <v>4407</v>
      </c>
      <c r="L1137">
        <v>7897</v>
      </c>
      <c r="M1137" t="s">
        <v>3031</v>
      </c>
    </row>
    <row r="1138" spans="1:13" ht="15" x14ac:dyDescent="0.25">
      <c r="A1138" t="s">
        <v>189</v>
      </c>
      <c r="B1138" t="s">
        <v>11</v>
      </c>
      <c r="C1138" t="s">
        <v>12</v>
      </c>
      <c r="D1138" t="s">
        <v>29</v>
      </c>
      <c r="E1138" t="s">
        <v>30</v>
      </c>
      <c r="F1138" t="s">
        <v>105</v>
      </c>
      <c r="G1138" t="s">
        <v>114</v>
      </c>
      <c r="H1138" t="s">
        <v>190</v>
      </c>
      <c r="I1138"/>
      <c r="J1138"/>
      <c r="K1138" t="s">
        <v>4408</v>
      </c>
      <c r="L1138">
        <v>11552</v>
      </c>
      <c r="M1138" t="s">
        <v>3032</v>
      </c>
    </row>
    <row r="1139" spans="1:13" ht="15" x14ac:dyDescent="0.25">
      <c r="A1139" t="s">
        <v>201</v>
      </c>
      <c r="B1139" t="s">
        <v>11</v>
      </c>
      <c r="C1139" t="s">
        <v>12</v>
      </c>
      <c r="D1139" t="s">
        <v>29</v>
      </c>
      <c r="E1139" t="s">
        <v>30</v>
      </c>
      <c r="F1139" t="s">
        <v>105</v>
      </c>
      <c r="G1139" t="s">
        <v>114</v>
      </c>
      <c r="H1139" t="s">
        <v>115</v>
      </c>
      <c r="I1139"/>
      <c r="J1139"/>
      <c r="K1139" t="s">
        <v>4409</v>
      </c>
      <c r="L1139">
        <v>7362</v>
      </c>
      <c r="M1139" t="s">
        <v>3033</v>
      </c>
    </row>
    <row r="1140" spans="1:13" ht="15" x14ac:dyDescent="0.25">
      <c r="A1140" t="s">
        <v>156</v>
      </c>
      <c r="B1140" t="s">
        <v>11</v>
      </c>
      <c r="C1140" t="s">
        <v>12</v>
      </c>
      <c r="D1140" t="s">
        <v>29</v>
      </c>
      <c r="E1140" t="s">
        <v>30</v>
      </c>
      <c r="F1140" t="s">
        <v>105</v>
      </c>
      <c r="G1140" t="s">
        <v>114</v>
      </c>
      <c r="H1140" t="s">
        <v>152</v>
      </c>
      <c r="I1140"/>
      <c r="J1140"/>
      <c r="K1140" t="s">
        <v>4410</v>
      </c>
      <c r="L1140">
        <v>5281168</v>
      </c>
      <c r="M1140" t="s">
        <v>3034</v>
      </c>
    </row>
    <row r="1141" spans="1:13" ht="15" x14ac:dyDescent="0.25">
      <c r="A1141" t="s">
        <v>165</v>
      </c>
      <c r="B1141" t="s">
        <v>11</v>
      </c>
      <c r="C1141" t="s">
        <v>12</v>
      </c>
      <c r="D1141" t="s">
        <v>29</v>
      </c>
      <c r="E1141" t="s">
        <v>30</v>
      </c>
      <c r="F1141" t="s">
        <v>105</v>
      </c>
      <c r="G1141" t="s">
        <v>114</v>
      </c>
      <c r="H1141" t="s">
        <v>152</v>
      </c>
      <c r="I1141"/>
      <c r="J1141"/>
      <c r="K1141" t="s">
        <v>4411</v>
      </c>
      <c r="L1141">
        <v>8130</v>
      </c>
      <c r="M1141" t="s">
        <v>3035</v>
      </c>
    </row>
    <row r="1142" spans="1:13" ht="15" x14ac:dyDescent="0.25">
      <c r="A1142" t="s">
        <v>186</v>
      </c>
      <c r="B1142" t="s">
        <v>11</v>
      </c>
      <c r="C1142" t="s">
        <v>12</v>
      </c>
      <c r="D1142" t="s">
        <v>24</v>
      </c>
      <c r="E1142" t="s">
        <v>54</v>
      </c>
      <c r="F1142" t="s">
        <v>55</v>
      </c>
      <c r="G1142" t="s">
        <v>187</v>
      </c>
      <c r="H1142"/>
      <c r="I1142"/>
      <c r="J1142"/>
      <c r="K1142" t="s">
        <v>4412</v>
      </c>
      <c r="L1142">
        <v>326</v>
      </c>
      <c r="M1142" t="s">
        <v>3036</v>
      </c>
    </row>
    <row r="1143" spans="1:13" ht="15" x14ac:dyDescent="0.25">
      <c r="A1143" t="s">
        <v>1265</v>
      </c>
      <c r="B1143" t="s">
        <v>11</v>
      </c>
      <c r="C1143" t="s">
        <v>12</v>
      </c>
      <c r="D1143" t="s">
        <v>36</v>
      </c>
      <c r="E1143" t="s">
        <v>44</v>
      </c>
      <c r="F1143"/>
      <c r="G1143" t="s">
        <v>44</v>
      </c>
      <c r="H1143"/>
      <c r="I1143"/>
      <c r="J1143"/>
      <c r="K1143" t="s">
        <v>4413</v>
      </c>
      <c r="L1143">
        <v>29030</v>
      </c>
      <c r="M1143" t="s">
        <v>3037</v>
      </c>
    </row>
    <row r="1144" spans="1:13" ht="15" x14ac:dyDescent="0.25">
      <c r="A1144" t="s">
        <v>1963</v>
      </c>
      <c r="B1144" t="s">
        <v>11</v>
      </c>
      <c r="C1144" t="s">
        <v>12</v>
      </c>
      <c r="D1144" t="s">
        <v>24</v>
      </c>
      <c r="E1144" t="s">
        <v>54</v>
      </c>
      <c r="F1144" t="s">
        <v>55</v>
      </c>
      <c r="G1144" t="s">
        <v>97</v>
      </c>
      <c r="H1144"/>
      <c r="I1144"/>
      <c r="J1144"/>
      <c r="K1144" t="s">
        <v>4414</v>
      </c>
      <c r="L1144">
        <v>2724159</v>
      </c>
      <c r="M1144" t="s">
        <v>3038</v>
      </c>
    </row>
    <row r="1145" spans="1:13" ht="15" x14ac:dyDescent="0.25">
      <c r="A1145" t="s">
        <v>180</v>
      </c>
      <c r="B1145" t="s">
        <v>11</v>
      </c>
      <c r="C1145" t="s">
        <v>12</v>
      </c>
      <c r="D1145" t="s">
        <v>29</v>
      </c>
      <c r="E1145" t="s">
        <v>30</v>
      </c>
      <c r="F1145" t="s">
        <v>105</v>
      </c>
      <c r="G1145" t="s">
        <v>114</v>
      </c>
      <c r="H1145" t="s">
        <v>152</v>
      </c>
      <c r="I1145"/>
      <c r="J1145"/>
      <c r="K1145" t="s">
        <v>4415</v>
      </c>
      <c r="L1145">
        <v>8186</v>
      </c>
      <c r="M1145" t="s">
        <v>3039</v>
      </c>
    </row>
    <row r="1146" spans="1:13" ht="15" x14ac:dyDescent="0.25">
      <c r="A1146" t="s">
        <v>179</v>
      </c>
      <c r="B1146" t="s">
        <v>11</v>
      </c>
      <c r="C1146" t="s">
        <v>12</v>
      </c>
      <c r="D1146" t="s">
        <v>29</v>
      </c>
      <c r="E1146" t="s">
        <v>30</v>
      </c>
      <c r="F1146" t="s">
        <v>105</v>
      </c>
      <c r="G1146" t="s">
        <v>114</v>
      </c>
      <c r="H1146" t="s">
        <v>152</v>
      </c>
      <c r="I1146"/>
      <c r="J1146"/>
      <c r="K1146" t="s">
        <v>4416</v>
      </c>
      <c r="L1146">
        <v>8194</v>
      </c>
      <c r="M1146" t="s">
        <v>3040</v>
      </c>
    </row>
    <row r="1147" spans="1:13" ht="15" x14ac:dyDescent="0.25">
      <c r="A1147" t="s">
        <v>1064</v>
      </c>
      <c r="B1147" t="s">
        <v>11</v>
      </c>
      <c r="C1147" t="s">
        <v>12</v>
      </c>
      <c r="D1147" t="s">
        <v>29</v>
      </c>
      <c r="E1147" t="s">
        <v>30</v>
      </c>
      <c r="F1147" t="s">
        <v>105</v>
      </c>
      <c r="G1147" t="s">
        <v>106</v>
      </c>
      <c r="H1147"/>
      <c r="I1147"/>
      <c r="J1147"/>
      <c r="K1147" t="s">
        <v>4417</v>
      </c>
      <c r="L1147">
        <v>180</v>
      </c>
      <c r="M1147" t="s">
        <v>3041</v>
      </c>
    </row>
    <row r="1148" spans="1:13" ht="15" x14ac:dyDescent="0.25">
      <c r="A1148" t="s">
        <v>1062</v>
      </c>
      <c r="B1148" t="s">
        <v>11</v>
      </c>
      <c r="C1148" t="s">
        <v>12</v>
      </c>
      <c r="D1148" t="s">
        <v>29</v>
      </c>
      <c r="E1148" t="s">
        <v>30</v>
      </c>
      <c r="F1148" t="s">
        <v>105</v>
      </c>
      <c r="G1148" t="s">
        <v>106</v>
      </c>
      <c r="H1148"/>
      <c r="I1148"/>
      <c r="J1148"/>
      <c r="K1148" t="s">
        <v>4418</v>
      </c>
      <c r="L1148">
        <v>93019</v>
      </c>
      <c r="M1148" t="s">
        <v>3042</v>
      </c>
    </row>
    <row r="1149" spans="1:13" ht="15" x14ac:dyDescent="0.25">
      <c r="A1149" t="s">
        <v>1056</v>
      </c>
      <c r="B1149" t="s">
        <v>11</v>
      </c>
      <c r="C1149" t="s">
        <v>12</v>
      </c>
      <c r="D1149" t="s">
        <v>36</v>
      </c>
      <c r="E1149" t="s">
        <v>44</v>
      </c>
      <c r="F1149" t="s">
        <v>137</v>
      </c>
      <c r="G1149" t="s">
        <v>137</v>
      </c>
      <c r="H1149"/>
      <c r="I1149"/>
      <c r="J1149"/>
      <c r="K1149" t="s">
        <v>4419</v>
      </c>
      <c r="L1149">
        <v>13028</v>
      </c>
      <c r="M1149" t="s">
        <v>3043</v>
      </c>
    </row>
    <row r="1150" spans="1:13" ht="15" x14ac:dyDescent="0.25">
      <c r="A1150" t="s">
        <v>1051</v>
      </c>
      <c r="B1150" t="s">
        <v>11</v>
      </c>
      <c r="C1150" t="s">
        <v>12</v>
      </c>
      <c r="D1150" t="s">
        <v>29</v>
      </c>
      <c r="E1150" t="s">
        <v>30</v>
      </c>
      <c r="F1150" t="s">
        <v>105</v>
      </c>
      <c r="G1150" t="s">
        <v>106</v>
      </c>
      <c r="H1150"/>
      <c r="I1150"/>
      <c r="J1150"/>
      <c r="K1150" t="s">
        <v>4420</v>
      </c>
      <c r="L1150">
        <v>8163</v>
      </c>
      <c r="M1150" t="s">
        <v>3044</v>
      </c>
    </row>
    <row r="1151" spans="1:13" ht="15" x14ac:dyDescent="0.25">
      <c r="A1151" t="s">
        <v>1348</v>
      </c>
      <c r="B1151" t="s">
        <v>11</v>
      </c>
      <c r="C1151" t="s">
        <v>12</v>
      </c>
      <c r="D1151" t="s">
        <v>29</v>
      </c>
      <c r="E1151" t="s">
        <v>30</v>
      </c>
      <c r="F1151" t="s">
        <v>105</v>
      </c>
      <c r="G1151" t="s">
        <v>106</v>
      </c>
      <c r="H1151" t="s">
        <v>1020</v>
      </c>
      <c r="I1151"/>
      <c r="J1151"/>
      <c r="K1151" t="s">
        <v>4421</v>
      </c>
      <c r="L1151">
        <v>5373801</v>
      </c>
      <c r="M1151" t="s">
        <v>3045</v>
      </c>
    </row>
    <row r="1152" spans="1:13" ht="15" x14ac:dyDescent="0.25">
      <c r="A1152" t="s">
        <v>1473</v>
      </c>
      <c r="B1152" t="s">
        <v>11</v>
      </c>
      <c r="C1152" t="s">
        <v>12</v>
      </c>
      <c r="D1152" t="s">
        <v>13</v>
      </c>
      <c r="E1152" t="s">
        <v>14</v>
      </c>
      <c r="F1152" t="s">
        <v>15</v>
      </c>
      <c r="G1152" t="s">
        <v>16</v>
      </c>
      <c r="H1152"/>
      <c r="I1152"/>
      <c r="J1152"/>
      <c r="K1152" t="s">
        <v>4422</v>
      </c>
      <c r="L1152">
        <v>8038</v>
      </c>
      <c r="M1152" t="s">
        <v>3046</v>
      </c>
    </row>
    <row r="1153" spans="1:13" ht="15" x14ac:dyDescent="0.25">
      <c r="A1153" t="s">
        <v>1461</v>
      </c>
      <c r="B1153" t="s">
        <v>11</v>
      </c>
      <c r="C1153" t="s">
        <v>12</v>
      </c>
      <c r="D1153" t="s">
        <v>13</v>
      </c>
      <c r="E1153" t="s">
        <v>14</v>
      </c>
      <c r="F1153" t="s">
        <v>15</v>
      </c>
      <c r="G1153" t="s">
        <v>16</v>
      </c>
      <c r="H1153"/>
      <c r="I1153"/>
      <c r="J1153"/>
      <c r="K1153" t="s">
        <v>4423</v>
      </c>
      <c r="L1153">
        <v>7772</v>
      </c>
      <c r="M1153" t="s">
        <v>3047</v>
      </c>
    </row>
    <row r="1154" spans="1:13" ht="15" x14ac:dyDescent="0.25">
      <c r="A1154" t="s">
        <v>1460</v>
      </c>
      <c r="B1154" t="s">
        <v>11</v>
      </c>
      <c r="C1154" t="s">
        <v>12</v>
      </c>
      <c r="D1154" t="s">
        <v>13</v>
      </c>
      <c r="E1154" t="s">
        <v>14</v>
      </c>
      <c r="F1154" t="s">
        <v>15</v>
      </c>
      <c r="G1154" t="s">
        <v>16</v>
      </c>
      <c r="H1154"/>
      <c r="I1154"/>
      <c r="J1154"/>
      <c r="K1154" t="s">
        <v>4424</v>
      </c>
      <c r="L1154">
        <v>17121</v>
      </c>
      <c r="M1154" t="s">
        <v>3048</v>
      </c>
    </row>
    <row r="1155" spans="1:13" ht="15" x14ac:dyDescent="0.25">
      <c r="A1155" t="s">
        <v>511</v>
      </c>
      <c r="B1155" t="s">
        <v>11</v>
      </c>
      <c r="C1155" t="s">
        <v>12</v>
      </c>
      <c r="D1155" t="s">
        <v>24</v>
      </c>
      <c r="E1155" t="s">
        <v>25</v>
      </c>
      <c r="F1155" t="s">
        <v>489</v>
      </c>
      <c r="G1155" t="s">
        <v>500</v>
      </c>
      <c r="H1155"/>
      <c r="I1155"/>
      <c r="J1155"/>
      <c r="K1155" t="s">
        <v>4425</v>
      </c>
      <c r="L1155">
        <v>8091</v>
      </c>
      <c r="M1155" t="s">
        <v>3049</v>
      </c>
    </row>
    <row r="1156" spans="1:13" ht="15" x14ac:dyDescent="0.25">
      <c r="A1156" t="s">
        <v>324</v>
      </c>
      <c r="B1156" t="s">
        <v>11</v>
      </c>
      <c r="C1156" t="s">
        <v>12</v>
      </c>
      <c r="D1156" t="s">
        <v>36</v>
      </c>
      <c r="E1156" t="s">
        <v>44</v>
      </c>
      <c r="F1156"/>
      <c r="G1156" t="s">
        <v>44</v>
      </c>
      <c r="H1156"/>
      <c r="I1156"/>
      <c r="J1156"/>
      <c r="K1156" t="s">
        <v>4426</v>
      </c>
      <c r="L1156">
        <v>7559</v>
      </c>
      <c r="M1156" t="s">
        <v>3050</v>
      </c>
    </row>
    <row r="1157" spans="1:13" ht="15" x14ac:dyDescent="0.25">
      <c r="A1157" t="s">
        <v>907</v>
      </c>
      <c r="B1157" t="s">
        <v>11</v>
      </c>
      <c r="C1157" t="s">
        <v>12</v>
      </c>
      <c r="D1157" t="s">
        <v>24</v>
      </c>
      <c r="E1157" t="s">
        <v>54</v>
      </c>
      <c r="F1157" t="s">
        <v>55</v>
      </c>
      <c r="G1157" t="s">
        <v>56</v>
      </c>
      <c r="H1157"/>
      <c r="I1157"/>
      <c r="J1157"/>
      <c r="K1157" t="s">
        <v>4427</v>
      </c>
      <c r="L1157">
        <v>6448</v>
      </c>
      <c r="M1157" t="s">
        <v>3051</v>
      </c>
    </row>
    <row r="1158" spans="1:13" ht="15" x14ac:dyDescent="0.25">
      <c r="A1158" t="s">
        <v>1950</v>
      </c>
      <c r="B1158" t="s">
        <v>11</v>
      </c>
      <c r="C1158" t="s">
        <v>12</v>
      </c>
      <c r="D1158" t="s">
        <v>24</v>
      </c>
      <c r="E1158" t="s">
        <v>54</v>
      </c>
      <c r="F1158" t="s">
        <v>55</v>
      </c>
      <c r="G1158" t="s">
        <v>56</v>
      </c>
      <c r="H1158"/>
      <c r="I1158"/>
      <c r="J1158"/>
      <c r="K1158" t="s">
        <v>4428</v>
      </c>
      <c r="L1158">
        <v>6950274</v>
      </c>
      <c r="M1158" t="s">
        <v>3051</v>
      </c>
    </row>
    <row r="1159" spans="1:13" ht="15" x14ac:dyDescent="0.25">
      <c r="A1159" t="s">
        <v>1945</v>
      </c>
      <c r="B1159" t="s">
        <v>11</v>
      </c>
      <c r="C1159" t="s">
        <v>12</v>
      </c>
      <c r="D1159" t="s">
        <v>24</v>
      </c>
      <c r="E1159" t="s">
        <v>54</v>
      </c>
      <c r="F1159" t="s">
        <v>55</v>
      </c>
      <c r="G1159" t="s">
        <v>56</v>
      </c>
      <c r="H1159"/>
      <c r="I1159"/>
      <c r="J1159"/>
      <c r="K1159" t="s">
        <v>4429</v>
      </c>
      <c r="L1159">
        <v>442460</v>
      </c>
      <c r="M1159" t="s">
        <v>3051</v>
      </c>
    </row>
    <row r="1160" spans="1:13" ht="15" x14ac:dyDescent="0.25">
      <c r="A1160" t="s">
        <v>1946</v>
      </c>
      <c r="B1160" t="s">
        <v>11</v>
      </c>
      <c r="C1160" t="s">
        <v>12</v>
      </c>
      <c r="D1160" t="s">
        <v>24</v>
      </c>
      <c r="E1160" t="s">
        <v>54</v>
      </c>
      <c r="F1160" t="s">
        <v>55</v>
      </c>
      <c r="G1160" t="s">
        <v>56</v>
      </c>
      <c r="H1160"/>
      <c r="I1160"/>
      <c r="J1160"/>
      <c r="K1160" t="s">
        <v>4430</v>
      </c>
      <c r="L1160">
        <v>443131</v>
      </c>
      <c r="M1160" t="s">
        <v>3051</v>
      </c>
    </row>
    <row r="1161" spans="1:13" ht="15" x14ac:dyDescent="0.25">
      <c r="A1161" t="s">
        <v>1948</v>
      </c>
      <c r="B1161" t="s">
        <v>11</v>
      </c>
      <c r="C1161" t="s">
        <v>12</v>
      </c>
      <c r="D1161" t="s">
        <v>24</v>
      </c>
      <c r="E1161" t="s">
        <v>54</v>
      </c>
      <c r="F1161" t="s">
        <v>55</v>
      </c>
      <c r="G1161" t="s">
        <v>56</v>
      </c>
      <c r="H1161"/>
      <c r="I1161"/>
      <c r="J1161"/>
      <c r="K1161" t="s">
        <v>4431</v>
      </c>
      <c r="L1161">
        <v>44630108</v>
      </c>
      <c r="M1161" t="s">
        <v>3051</v>
      </c>
    </row>
    <row r="1162" spans="1:13" ht="15" x14ac:dyDescent="0.25">
      <c r="A1162" t="s">
        <v>1949</v>
      </c>
      <c r="B1162" t="s">
        <v>11</v>
      </c>
      <c r="C1162" t="s">
        <v>12</v>
      </c>
      <c r="D1162" t="s">
        <v>24</v>
      </c>
      <c r="E1162" t="s">
        <v>54</v>
      </c>
      <c r="F1162" t="s">
        <v>55</v>
      </c>
      <c r="G1162" t="s">
        <v>56</v>
      </c>
      <c r="H1162"/>
      <c r="I1162"/>
      <c r="J1162"/>
      <c r="K1162" t="s">
        <v>4432</v>
      </c>
      <c r="L1162">
        <v>12097317</v>
      </c>
      <c r="M1162" t="s">
        <v>3051</v>
      </c>
    </row>
    <row r="1163" spans="1:13" ht="15" x14ac:dyDescent="0.25">
      <c r="A1163" t="s">
        <v>1951</v>
      </c>
      <c r="B1163" t="s">
        <v>11</v>
      </c>
      <c r="C1163" t="s">
        <v>12</v>
      </c>
      <c r="D1163" t="s">
        <v>24</v>
      </c>
      <c r="E1163" t="s">
        <v>54</v>
      </c>
      <c r="F1163" t="s">
        <v>55</v>
      </c>
      <c r="G1163" t="s">
        <v>56</v>
      </c>
      <c r="H1163"/>
      <c r="I1163"/>
      <c r="J1163"/>
      <c r="K1163" t="s">
        <v>4433</v>
      </c>
      <c r="L1163">
        <v>3034424</v>
      </c>
      <c r="M1163" t="s">
        <v>3051</v>
      </c>
    </row>
    <row r="1164" spans="1:13" ht="15" x14ac:dyDescent="0.25">
      <c r="A1164" t="s">
        <v>1977</v>
      </c>
      <c r="B1164" t="s">
        <v>11</v>
      </c>
      <c r="C1164" t="s">
        <v>12</v>
      </c>
      <c r="D1164" t="s">
        <v>24</v>
      </c>
      <c r="E1164" t="s">
        <v>54</v>
      </c>
      <c r="F1164" t="s">
        <v>55</v>
      </c>
      <c r="G1164" t="s">
        <v>56</v>
      </c>
      <c r="H1164"/>
      <c r="I1164"/>
      <c r="J1164"/>
      <c r="K1164" t="s">
        <v>4434</v>
      </c>
      <c r="L1164">
        <v>119852</v>
      </c>
      <c r="M1164" t="s">
        <v>3052</v>
      </c>
    </row>
    <row r="1165" spans="1:13" ht="15" x14ac:dyDescent="0.25">
      <c r="A1165" t="s">
        <v>2155</v>
      </c>
      <c r="B1165" t="s">
        <v>11</v>
      </c>
      <c r="C1165" t="s">
        <v>12</v>
      </c>
      <c r="D1165" t="s">
        <v>24</v>
      </c>
      <c r="E1165" t="s">
        <v>54</v>
      </c>
      <c r="F1165" t="s">
        <v>55</v>
      </c>
      <c r="G1165" t="s">
        <v>56</v>
      </c>
      <c r="H1165"/>
      <c r="I1165"/>
      <c r="J1165"/>
      <c r="K1165" t="s">
        <v>4435</v>
      </c>
      <c r="L1165">
        <v>524198</v>
      </c>
      <c r="M1165" t="s">
        <v>3053</v>
      </c>
    </row>
    <row r="1166" spans="1:13" ht="15" x14ac:dyDescent="0.25">
      <c r="A1166" t="s">
        <v>1352</v>
      </c>
      <c r="B1166" t="s">
        <v>11</v>
      </c>
      <c r="C1166" t="s">
        <v>12</v>
      </c>
      <c r="D1166" t="s">
        <v>228</v>
      </c>
      <c r="E1166" t="s">
        <v>233</v>
      </c>
      <c r="F1166" t="s">
        <v>692</v>
      </c>
      <c r="G1166" t="s">
        <v>692</v>
      </c>
      <c r="H1166"/>
      <c r="I1166"/>
      <c r="J1166"/>
      <c r="K1166" t="s">
        <v>4436</v>
      </c>
      <c r="L1166">
        <v>550088</v>
      </c>
      <c r="M1166" t="s">
        <v>3054</v>
      </c>
    </row>
    <row r="1167" spans="1:13" ht="15" x14ac:dyDescent="0.25">
      <c r="A1167" t="s">
        <v>1301</v>
      </c>
      <c r="B1167" t="s">
        <v>11</v>
      </c>
      <c r="C1167" t="s">
        <v>12</v>
      </c>
      <c r="D1167" t="s">
        <v>36</v>
      </c>
      <c r="E1167" t="s">
        <v>44</v>
      </c>
      <c r="F1167" t="s">
        <v>139</v>
      </c>
      <c r="G1167" t="s">
        <v>140</v>
      </c>
      <c r="H1167"/>
      <c r="I1167"/>
      <c r="J1167"/>
      <c r="K1167" t="s">
        <v>4437</v>
      </c>
      <c r="L1167">
        <v>79990</v>
      </c>
      <c r="M1167" t="s">
        <v>3055</v>
      </c>
    </row>
    <row r="1168" spans="1:13" ht="15" x14ac:dyDescent="0.25">
      <c r="A1168" t="s">
        <v>1326</v>
      </c>
      <c r="B1168" t="s">
        <v>11</v>
      </c>
      <c r="C1168" t="s">
        <v>12</v>
      </c>
      <c r="D1168" t="s">
        <v>228</v>
      </c>
      <c r="E1168" t="s">
        <v>233</v>
      </c>
      <c r="F1168" t="s">
        <v>692</v>
      </c>
      <c r="G1168" t="s">
        <v>692</v>
      </c>
      <c r="H1168"/>
      <c r="I1168"/>
      <c r="J1168"/>
      <c r="K1168" t="s">
        <v>4438</v>
      </c>
      <c r="L1168">
        <v>578237</v>
      </c>
      <c r="M1168" t="s">
        <v>3056</v>
      </c>
    </row>
    <row r="1169" spans="1:13" ht="15" x14ac:dyDescent="0.25">
      <c r="A1169" t="s">
        <v>901</v>
      </c>
      <c r="B1169" t="s">
        <v>11</v>
      </c>
      <c r="C1169" t="s">
        <v>12</v>
      </c>
      <c r="D1169" t="s">
        <v>24</v>
      </c>
      <c r="E1169" t="s">
        <v>54</v>
      </c>
      <c r="F1169" t="s">
        <v>55</v>
      </c>
      <c r="G1169" t="s">
        <v>97</v>
      </c>
      <c r="H1169"/>
      <c r="I1169"/>
      <c r="J1169"/>
      <c r="K1169" t="s">
        <v>4439</v>
      </c>
      <c r="L1169">
        <v>11463</v>
      </c>
      <c r="M1169" t="s">
        <v>3057</v>
      </c>
    </row>
    <row r="1170" spans="1:13" ht="15" x14ac:dyDescent="0.25">
      <c r="A1170" t="s">
        <v>1942</v>
      </c>
      <c r="B1170" t="s">
        <v>11</v>
      </c>
      <c r="C1170" t="s">
        <v>12</v>
      </c>
      <c r="D1170" t="s">
        <v>24</v>
      </c>
      <c r="E1170" t="s">
        <v>54</v>
      </c>
      <c r="F1170" t="s">
        <v>55</v>
      </c>
      <c r="G1170" t="s">
        <v>56</v>
      </c>
      <c r="H1170"/>
      <c r="I1170"/>
      <c r="J1170"/>
      <c r="K1170" t="s">
        <v>4440</v>
      </c>
      <c r="L1170">
        <v>526611</v>
      </c>
      <c r="M1170" t="s">
        <v>3058</v>
      </c>
    </row>
    <row r="1171" spans="1:13" ht="15" x14ac:dyDescent="0.25">
      <c r="A1171" t="s">
        <v>2438</v>
      </c>
      <c r="B1171" t="s">
        <v>11</v>
      </c>
      <c r="C1171" t="s">
        <v>12</v>
      </c>
      <c r="D1171" t="s">
        <v>24</v>
      </c>
      <c r="E1171" t="s">
        <v>54</v>
      </c>
      <c r="F1171" t="s">
        <v>55</v>
      </c>
      <c r="G1171" t="s">
        <v>56</v>
      </c>
      <c r="H1171"/>
      <c r="I1171"/>
      <c r="J1171"/>
      <c r="K1171" t="s">
        <v>4441</v>
      </c>
      <c r="L1171">
        <v>11744854</v>
      </c>
      <c r="M1171" t="s">
        <v>3059</v>
      </c>
    </row>
    <row r="1172" spans="1:13" ht="15" x14ac:dyDescent="0.25">
      <c r="A1172" t="s">
        <v>1209</v>
      </c>
      <c r="B1172" t="s">
        <v>11</v>
      </c>
      <c r="C1172" t="s">
        <v>12</v>
      </c>
      <c r="D1172" t="s">
        <v>24</v>
      </c>
      <c r="E1172" t="s">
        <v>54</v>
      </c>
      <c r="F1172" t="s">
        <v>55</v>
      </c>
      <c r="G1172" t="s">
        <v>56</v>
      </c>
      <c r="H1172"/>
      <c r="I1172"/>
      <c r="J1172"/>
      <c r="K1172" t="s">
        <v>4442</v>
      </c>
      <c r="L1172">
        <v>62367</v>
      </c>
      <c r="M1172" t="s">
        <v>3059</v>
      </c>
    </row>
    <row r="1173" spans="1:13" ht="15" x14ac:dyDescent="0.25">
      <c r="A1173" t="s">
        <v>1210</v>
      </c>
      <c r="B1173" t="s">
        <v>11</v>
      </c>
      <c r="C1173" t="s">
        <v>12</v>
      </c>
      <c r="D1173" t="s">
        <v>24</v>
      </c>
      <c r="E1173" t="s">
        <v>54</v>
      </c>
      <c r="F1173" t="s">
        <v>55</v>
      </c>
      <c r="G1173" t="s">
        <v>56</v>
      </c>
      <c r="H1173"/>
      <c r="I1173"/>
      <c r="J1173"/>
      <c r="K1173" t="s">
        <v>4443</v>
      </c>
      <c r="L1173">
        <v>12315152</v>
      </c>
      <c r="M1173" t="s">
        <v>3059</v>
      </c>
    </row>
    <row r="1174" spans="1:13" ht="15" x14ac:dyDescent="0.25">
      <c r="A1174" t="s">
        <v>2153</v>
      </c>
      <c r="B1174" t="s">
        <v>11</v>
      </c>
      <c r="C1174" t="s">
        <v>12</v>
      </c>
      <c r="D1174" t="s">
        <v>24</v>
      </c>
      <c r="E1174" t="s">
        <v>54</v>
      </c>
      <c r="F1174" t="s">
        <v>55</v>
      </c>
      <c r="G1174" t="s">
        <v>56</v>
      </c>
      <c r="H1174"/>
      <c r="I1174"/>
      <c r="J1174"/>
      <c r="K1174" t="s">
        <v>4444</v>
      </c>
      <c r="L1174">
        <v>20055523</v>
      </c>
      <c r="M1174" t="s">
        <v>3059</v>
      </c>
    </row>
    <row r="1175" spans="1:13" ht="15" x14ac:dyDescent="0.25">
      <c r="A1175" t="s">
        <v>1344</v>
      </c>
      <c r="B1175" t="s">
        <v>11</v>
      </c>
      <c r="C1175" t="s">
        <v>12</v>
      </c>
      <c r="D1175" t="s">
        <v>24</v>
      </c>
      <c r="E1175" t="s">
        <v>54</v>
      </c>
      <c r="F1175" t="s">
        <v>55</v>
      </c>
      <c r="G1175" t="s">
        <v>56</v>
      </c>
      <c r="H1175"/>
      <c r="I1175"/>
      <c r="J1175"/>
      <c r="K1175" t="s">
        <v>4445</v>
      </c>
      <c r="L1175">
        <v>164888</v>
      </c>
      <c r="M1175" t="s">
        <v>3060</v>
      </c>
    </row>
    <row r="1176" spans="1:13" ht="15" x14ac:dyDescent="0.25">
      <c r="A1176" t="s">
        <v>2183</v>
      </c>
      <c r="B1176" t="s">
        <v>11</v>
      </c>
      <c r="C1176" t="s">
        <v>12</v>
      </c>
      <c r="D1176" t="s">
        <v>24</v>
      </c>
      <c r="E1176" t="s">
        <v>54</v>
      </c>
      <c r="F1176" t="s">
        <v>55</v>
      </c>
      <c r="G1176" t="s">
        <v>56</v>
      </c>
      <c r="H1176"/>
      <c r="I1176"/>
      <c r="J1176"/>
      <c r="K1176" t="s">
        <v>4446</v>
      </c>
      <c r="L1176">
        <v>84532</v>
      </c>
      <c r="M1176" t="s">
        <v>3061</v>
      </c>
    </row>
    <row r="1177" spans="1:13" ht="15" x14ac:dyDescent="0.25">
      <c r="A1177" t="s">
        <v>1967</v>
      </c>
      <c r="B1177" t="s">
        <v>11</v>
      </c>
      <c r="C1177" t="s">
        <v>12</v>
      </c>
      <c r="D1177" t="s">
        <v>24</v>
      </c>
      <c r="E1177" t="s">
        <v>54</v>
      </c>
      <c r="F1177" t="s">
        <v>55</v>
      </c>
      <c r="G1177" t="s">
        <v>97</v>
      </c>
      <c r="H1177"/>
      <c r="I1177"/>
      <c r="J1177"/>
      <c r="K1177" t="s">
        <v>4447</v>
      </c>
      <c r="L1177">
        <v>94221</v>
      </c>
      <c r="M1177" t="s">
        <v>3062</v>
      </c>
    </row>
    <row r="1178" spans="1:13" ht="15" x14ac:dyDescent="0.25">
      <c r="A1178" t="s">
        <v>1007</v>
      </c>
      <c r="B1178" t="s">
        <v>11</v>
      </c>
      <c r="C1178" t="s">
        <v>12</v>
      </c>
      <c r="D1178" t="s">
        <v>24</v>
      </c>
      <c r="E1178" t="s">
        <v>54</v>
      </c>
      <c r="F1178" t="s">
        <v>55</v>
      </c>
      <c r="G1178" t="s">
        <v>56</v>
      </c>
      <c r="H1178"/>
      <c r="I1178"/>
      <c r="J1178"/>
      <c r="K1178" t="s">
        <v>4448</v>
      </c>
      <c r="L1178">
        <v>31408</v>
      </c>
      <c r="M1178" t="s">
        <v>3063</v>
      </c>
    </row>
    <row r="1179" spans="1:13" ht="15" x14ac:dyDescent="0.25">
      <c r="A1179" t="s">
        <v>956</v>
      </c>
      <c r="B1179" t="s">
        <v>11</v>
      </c>
      <c r="C1179" t="s">
        <v>12</v>
      </c>
      <c r="D1179" t="s">
        <v>228</v>
      </c>
      <c r="E1179" t="s">
        <v>957</v>
      </c>
      <c r="F1179"/>
      <c r="G1179" t="s">
        <v>957</v>
      </c>
      <c r="H1179"/>
      <c r="I1179"/>
      <c r="J1179"/>
      <c r="K1179" t="s">
        <v>4449</v>
      </c>
      <c r="L1179">
        <v>530426</v>
      </c>
      <c r="M1179" t="s">
        <v>3064</v>
      </c>
    </row>
    <row r="1180" spans="1:13" ht="15" x14ac:dyDescent="0.25">
      <c r="A1180" t="s">
        <v>1274</v>
      </c>
      <c r="B1180" t="s">
        <v>11</v>
      </c>
      <c r="C1180" t="s">
        <v>12</v>
      </c>
      <c r="D1180" t="s">
        <v>24</v>
      </c>
      <c r="E1180" t="s">
        <v>54</v>
      </c>
      <c r="F1180" t="s">
        <v>60</v>
      </c>
      <c r="G1180" t="s">
        <v>913</v>
      </c>
      <c r="H1180"/>
      <c r="I1180"/>
      <c r="J1180"/>
      <c r="K1180" t="s">
        <v>4450</v>
      </c>
      <c r="L1180">
        <v>6429376</v>
      </c>
      <c r="M1180" t="s">
        <v>3065</v>
      </c>
    </row>
    <row r="1181" spans="1:13" ht="15" x14ac:dyDescent="0.25">
      <c r="A1181" t="s">
        <v>2237</v>
      </c>
      <c r="B1181" t="s">
        <v>11</v>
      </c>
      <c r="C1181" t="s">
        <v>12</v>
      </c>
      <c r="D1181" t="s">
        <v>24</v>
      </c>
      <c r="E1181" t="s">
        <v>54</v>
      </c>
      <c r="F1181" t="s">
        <v>60</v>
      </c>
      <c r="G1181" t="s">
        <v>60</v>
      </c>
      <c r="H1181"/>
      <c r="I1181"/>
      <c r="J1181"/>
      <c r="K1181" t="s">
        <v>4451</v>
      </c>
      <c r="L1181">
        <v>11770062</v>
      </c>
      <c r="M1181" t="s">
        <v>3066</v>
      </c>
    </row>
    <row r="1182" spans="1:13" ht="15" x14ac:dyDescent="0.25">
      <c r="A1182" t="s">
        <v>2207</v>
      </c>
      <c r="B1182" t="s">
        <v>11</v>
      </c>
      <c r="C1182" t="s">
        <v>12</v>
      </c>
      <c r="D1182" t="s">
        <v>24</v>
      </c>
      <c r="E1182" t="s">
        <v>54</v>
      </c>
      <c r="F1182" t="s">
        <v>60</v>
      </c>
      <c r="G1182" t="s">
        <v>977</v>
      </c>
      <c r="H1182"/>
      <c r="I1182"/>
      <c r="J1182"/>
      <c r="K1182" t="s">
        <v>4452</v>
      </c>
      <c r="L1182">
        <v>519545</v>
      </c>
      <c r="M1182" t="s">
        <v>3067</v>
      </c>
    </row>
    <row r="1183" spans="1:13" ht="15" x14ac:dyDescent="0.25">
      <c r="A1183" t="s">
        <v>2439</v>
      </c>
      <c r="B1183" t="s">
        <v>11</v>
      </c>
      <c r="C1183" t="s">
        <v>12</v>
      </c>
      <c r="D1183" t="s">
        <v>24</v>
      </c>
      <c r="E1183" t="s">
        <v>54</v>
      </c>
      <c r="F1183" t="s">
        <v>60</v>
      </c>
      <c r="G1183" t="s">
        <v>977</v>
      </c>
      <c r="H1183"/>
      <c r="I1183"/>
      <c r="J1183"/>
      <c r="K1183" t="s">
        <v>4453</v>
      </c>
      <c r="L1183">
        <v>119831</v>
      </c>
      <c r="M1183" t="s">
        <v>3068</v>
      </c>
    </row>
    <row r="1184" spans="1:13" ht="15" x14ac:dyDescent="0.25">
      <c r="A1184" t="s">
        <v>2440</v>
      </c>
      <c r="B1184" t="s">
        <v>11</v>
      </c>
      <c r="C1184" t="s">
        <v>12</v>
      </c>
      <c r="D1184" t="s">
        <v>24</v>
      </c>
      <c r="E1184" t="s">
        <v>54</v>
      </c>
      <c r="F1184" t="s">
        <v>60</v>
      </c>
      <c r="G1184" t="s">
        <v>977</v>
      </c>
      <c r="H1184"/>
      <c r="I1184"/>
      <c r="J1184"/>
      <c r="K1184" t="s">
        <v>4454</v>
      </c>
      <c r="L1184">
        <v>21119906</v>
      </c>
      <c r="M1184" t="s">
        <v>3068</v>
      </c>
    </row>
    <row r="1185" spans="1:13" ht="15" x14ac:dyDescent="0.25">
      <c r="A1185" t="s">
        <v>918</v>
      </c>
      <c r="B1185" t="s">
        <v>11</v>
      </c>
      <c r="C1185" t="s">
        <v>12</v>
      </c>
      <c r="D1185" t="s">
        <v>24</v>
      </c>
      <c r="E1185" t="s">
        <v>54</v>
      </c>
      <c r="F1185" t="s">
        <v>60</v>
      </c>
      <c r="G1185" t="s">
        <v>919</v>
      </c>
      <c r="H1185"/>
      <c r="I1185"/>
      <c r="J1185"/>
      <c r="K1185" t="s">
        <v>4455</v>
      </c>
      <c r="L1185">
        <v>3515</v>
      </c>
      <c r="M1185" t="s">
        <v>3069</v>
      </c>
    </row>
    <row r="1186" spans="1:13" ht="15" x14ac:dyDescent="0.25">
      <c r="A1186" t="s">
        <v>713</v>
      </c>
      <c r="B1186" t="s">
        <v>11</v>
      </c>
      <c r="C1186" t="s">
        <v>12</v>
      </c>
      <c r="D1186" t="s">
        <v>24</v>
      </c>
      <c r="E1186" t="s">
        <v>54</v>
      </c>
      <c r="F1186" t="s">
        <v>420</v>
      </c>
      <c r="G1186" t="s">
        <v>714</v>
      </c>
      <c r="H1186"/>
      <c r="I1186"/>
      <c r="J1186"/>
      <c r="K1186" t="s">
        <v>4456</v>
      </c>
      <c r="L1186">
        <v>12523</v>
      </c>
      <c r="M1186" t="s">
        <v>3070</v>
      </c>
    </row>
    <row r="1187" spans="1:13" ht="15" x14ac:dyDescent="0.25">
      <c r="A1187" t="s">
        <v>2441</v>
      </c>
      <c r="B1187" t="s">
        <v>11</v>
      </c>
      <c r="C1187" t="s">
        <v>12</v>
      </c>
      <c r="D1187" t="s">
        <v>24</v>
      </c>
      <c r="E1187" t="s">
        <v>54</v>
      </c>
      <c r="F1187" t="s">
        <v>420</v>
      </c>
      <c r="G1187" t="s">
        <v>420</v>
      </c>
      <c r="H1187"/>
      <c r="I1187"/>
      <c r="J1187"/>
      <c r="K1187" t="s">
        <v>4457</v>
      </c>
      <c r="L1187">
        <v>157814493</v>
      </c>
      <c r="M1187" t="s">
        <v>3071</v>
      </c>
    </row>
    <row r="1188" spans="1:13" ht="15" x14ac:dyDescent="0.25">
      <c r="A1188" t="s">
        <v>1958</v>
      </c>
      <c r="B1188" t="s">
        <v>11</v>
      </c>
      <c r="C1188" t="s">
        <v>12</v>
      </c>
      <c r="D1188" t="s">
        <v>24</v>
      </c>
      <c r="E1188" t="s">
        <v>54</v>
      </c>
      <c r="F1188" t="s">
        <v>420</v>
      </c>
      <c r="G1188" t="s">
        <v>1959</v>
      </c>
      <c r="H1188"/>
      <c r="I1188"/>
      <c r="J1188"/>
      <c r="K1188" t="s">
        <v>4458</v>
      </c>
      <c r="L1188">
        <v>520687</v>
      </c>
      <c r="M1188" t="s">
        <v>3072</v>
      </c>
    </row>
    <row r="1189" spans="1:13" ht="15" x14ac:dyDescent="0.25">
      <c r="A1189" t="s">
        <v>2146</v>
      </c>
      <c r="B1189" t="s">
        <v>11</v>
      </c>
      <c r="C1189" t="s">
        <v>12</v>
      </c>
      <c r="D1189" t="s">
        <v>24</v>
      </c>
      <c r="E1189" t="s">
        <v>54</v>
      </c>
      <c r="F1189" t="s">
        <v>420</v>
      </c>
      <c r="G1189" t="s">
        <v>420</v>
      </c>
      <c r="H1189"/>
      <c r="I1189"/>
      <c r="J1189"/>
      <c r="K1189" t="s">
        <v>4459</v>
      </c>
      <c r="L1189">
        <v>163263</v>
      </c>
      <c r="M1189" t="s">
        <v>3073</v>
      </c>
    </row>
    <row r="1190" spans="1:13" ht="15" x14ac:dyDescent="0.25">
      <c r="A1190" t="s">
        <v>549</v>
      </c>
      <c r="B1190" t="s">
        <v>11</v>
      </c>
      <c r="C1190" t="s">
        <v>12</v>
      </c>
      <c r="D1190" t="s">
        <v>24</v>
      </c>
      <c r="E1190" t="s">
        <v>54</v>
      </c>
      <c r="F1190" t="s">
        <v>55</v>
      </c>
      <c r="G1190" t="s">
        <v>58</v>
      </c>
      <c r="H1190"/>
      <c r="I1190"/>
      <c r="J1190"/>
      <c r="K1190" t="s">
        <v>4460</v>
      </c>
      <c r="L1190">
        <v>5352478</v>
      </c>
      <c r="M1190" t="s">
        <v>3074</v>
      </c>
    </row>
    <row r="1191" spans="1:13" ht="15" x14ac:dyDescent="0.25">
      <c r="A1191" t="s">
        <v>467</v>
      </c>
      <c r="B1191" t="s">
        <v>11</v>
      </c>
      <c r="C1191" t="s">
        <v>12</v>
      </c>
      <c r="D1191" t="s">
        <v>36</v>
      </c>
      <c r="E1191" t="s">
        <v>44</v>
      </c>
      <c r="F1191" t="s">
        <v>468</v>
      </c>
      <c r="G1191" t="s">
        <v>468</v>
      </c>
      <c r="H1191"/>
      <c r="I1191"/>
      <c r="J1191"/>
      <c r="K1191" t="s">
        <v>4461</v>
      </c>
      <c r="L1191">
        <v>8794</v>
      </c>
      <c r="M1191" t="s">
        <v>3075</v>
      </c>
    </row>
    <row r="1192" spans="1:13" ht="15" x14ac:dyDescent="0.25">
      <c r="A1192" t="s">
        <v>1935</v>
      </c>
      <c r="B1192" t="s">
        <v>11</v>
      </c>
      <c r="C1192" t="s">
        <v>12</v>
      </c>
      <c r="D1192" t="s">
        <v>36</v>
      </c>
      <c r="E1192" t="s">
        <v>480</v>
      </c>
      <c r="F1192" t="s">
        <v>481</v>
      </c>
      <c r="G1192" t="s">
        <v>481</v>
      </c>
      <c r="H1192"/>
      <c r="I1192"/>
      <c r="J1192"/>
      <c r="K1192" t="s">
        <v>4462</v>
      </c>
      <c r="L1192">
        <v>12507</v>
      </c>
      <c r="M1192" t="s">
        <v>3076</v>
      </c>
    </row>
    <row r="1193" spans="1:13" ht="15" x14ac:dyDescent="0.25">
      <c r="A1193" t="s">
        <v>2159</v>
      </c>
      <c r="B1193" t="s">
        <v>11</v>
      </c>
      <c r="C1193" t="s">
        <v>12</v>
      </c>
      <c r="D1193" t="s">
        <v>24</v>
      </c>
      <c r="E1193" t="s">
        <v>54</v>
      </c>
      <c r="F1193" t="s">
        <v>55</v>
      </c>
      <c r="G1193" t="s">
        <v>187</v>
      </c>
      <c r="H1193"/>
      <c r="I1193"/>
      <c r="J1193"/>
      <c r="K1193" t="s">
        <v>4463</v>
      </c>
      <c r="L1193">
        <v>14104</v>
      </c>
      <c r="M1193" t="s">
        <v>3077</v>
      </c>
    </row>
    <row r="1194" spans="1:13" ht="15" x14ac:dyDescent="0.25">
      <c r="A1194" t="s">
        <v>1833</v>
      </c>
      <c r="B1194" t="s">
        <v>11</v>
      </c>
      <c r="C1194" t="s">
        <v>12</v>
      </c>
      <c r="D1194" t="s">
        <v>36</v>
      </c>
      <c r="E1194" t="s">
        <v>37</v>
      </c>
      <c r="F1194" t="s">
        <v>38</v>
      </c>
      <c r="G1194" t="s">
        <v>38</v>
      </c>
      <c r="H1194"/>
      <c r="I1194"/>
      <c r="J1194"/>
      <c r="K1194" t="s">
        <v>4464</v>
      </c>
      <c r="L1194">
        <v>62465</v>
      </c>
      <c r="M1194" t="s">
        <v>3078</v>
      </c>
    </row>
    <row r="1195" spans="1:13" ht="15" x14ac:dyDescent="0.25">
      <c r="A1195" t="s">
        <v>2144</v>
      </c>
      <c r="B1195" t="s">
        <v>11</v>
      </c>
      <c r="C1195" t="s">
        <v>12</v>
      </c>
      <c r="D1195" t="s">
        <v>24</v>
      </c>
      <c r="E1195" t="s">
        <v>54</v>
      </c>
      <c r="F1195" t="s">
        <v>986</v>
      </c>
      <c r="G1195" t="s">
        <v>986</v>
      </c>
      <c r="H1195"/>
      <c r="I1195"/>
      <c r="J1195"/>
      <c r="K1195" t="s">
        <v>4465</v>
      </c>
      <c r="L1195">
        <v>6432025</v>
      </c>
      <c r="M1195" t="s">
        <v>3079</v>
      </c>
    </row>
    <row r="1196" spans="1:13" ht="15" x14ac:dyDescent="0.25">
      <c r="A1196" t="s">
        <v>2143</v>
      </c>
      <c r="B1196" t="s">
        <v>11</v>
      </c>
      <c r="C1196" t="s">
        <v>12</v>
      </c>
      <c r="D1196" t="s">
        <v>24</v>
      </c>
      <c r="E1196" t="s">
        <v>54</v>
      </c>
      <c r="F1196" t="s">
        <v>986</v>
      </c>
      <c r="G1196" t="s">
        <v>986</v>
      </c>
      <c r="H1196"/>
      <c r="I1196"/>
      <c r="J1196"/>
      <c r="K1196" t="s">
        <v>4466</v>
      </c>
      <c r="L1196">
        <v>6453839</v>
      </c>
      <c r="M1196" t="s">
        <v>3079</v>
      </c>
    </row>
    <row r="1197" spans="1:13" ht="15" x14ac:dyDescent="0.25">
      <c r="A1197" t="s">
        <v>1349</v>
      </c>
      <c r="B1197" t="s">
        <v>11</v>
      </c>
      <c r="C1197" t="s">
        <v>12</v>
      </c>
      <c r="D1197" t="s">
        <v>24</v>
      </c>
      <c r="E1197" t="s">
        <v>54</v>
      </c>
      <c r="F1197" t="s">
        <v>986</v>
      </c>
      <c r="G1197" t="s">
        <v>986</v>
      </c>
      <c r="H1197"/>
      <c r="I1197"/>
      <c r="J1197"/>
      <c r="K1197" t="s">
        <v>4467</v>
      </c>
      <c r="L1197">
        <v>6432583</v>
      </c>
      <c r="M1197" t="s">
        <v>3079</v>
      </c>
    </row>
    <row r="1198" spans="1:13" ht="15" x14ac:dyDescent="0.25">
      <c r="A1198" t="s">
        <v>2142</v>
      </c>
      <c r="B1198" t="s">
        <v>11</v>
      </c>
      <c r="C1198" t="s">
        <v>12</v>
      </c>
      <c r="D1198" t="s">
        <v>24</v>
      </c>
      <c r="E1198" t="s">
        <v>54</v>
      </c>
      <c r="F1198" t="s">
        <v>986</v>
      </c>
      <c r="G1198" t="s">
        <v>986</v>
      </c>
      <c r="H1198"/>
      <c r="I1198"/>
      <c r="J1198"/>
      <c r="K1198" t="s">
        <v>4468</v>
      </c>
      <c r="L1198">
        <v>10085645</v>
      </c>
      <c r="M1198" t="s">
        <v>3079</v>
      </c>
    </row>
    <row r="1199" spans="1:13" ht="15" x14ac:dyDescent="0.25">
      <c r="A1199" t="s">
        <v>2000</v>
      </c>
      <c r="B1199" t="s">
        <v>11</v>
      </c>
      <c r="C1199" t="s">
        <v>12</v>
      </c>
      <c r="D1199" t="s">
        <v>24</v>
      </c>
      <c r="E1199" t="s">
        <v>54</v>
      </c>
      <c r="F1199" t="s">
        <v>986</v>
      </c>
      <c r="G1199" t="s">
        <v>986</v>
      </c>
      <c r="H1199"/>
      <c r="I1199"/>
      <c r="J1199"/>
      <c r="K1199" t="s">
        <v>4469</v>
      </c>
      <c r="L1199">
        <v>518574</v>
      </c>
      <c r="M1199" t="s">
        <v>3079</v>
      </c>
    </row>
    <row r="1200" spans="1:13" ht="15" x14ac:dyDescent="0.25">
      <c r="A1200" t="s">
        <v>580</v>
      </c>
      <c r="B1200" t="s">
        <v>11</v>
      </c>
      <c r="C1200" t="s">
        <v>12</v>
      </c>
      <c r="D1200" t="s">
        <v>24</v>
      </c>
      <c r="E1200" t="s">
        <v>25</v>
      </c>
      <c r="F1200" t="s">
        <v>388</v>
      </c>
      <c r="G1200" t="s">
        <v>581</v>
      </c>
      <c r="H1200"/>
      <c r="I1200"/>
      <c r="J1200"/>
      <c r="K1200" t="s">
        <v>4470</v>
      </c>
      <c r="L1200">
        <v>7991</v>
      </c>
      <c r="M1200" t="s">
        <v>3080</v>
      </c>
    </row>
    <row r="1201" spans="1:13" ht="15" x14ac:dyDescent="0.25">
      <c r="A1201" t="s">
        <v>75</v>
      </c>
      <c r="B1201" t="s">
        <v>11</v>
      </c>
      <c r="C1201" t="s">
        <v>12</v>
      </c>
      <c r="D1201" t="s">
        <v>36</v>
      </c>
      <c r="E1201" t="s">
        <v>44</v>
      </c>
      <c r="F1201"/>
      <c r="G1201" t="s">
        <v>44</v>
      </c>
      <c r="H1201"/>
      <c r="I1201"/>
      <c r="J1201"/>
      <c r="K1201" t="s">
        <v>4471</v>
      </c>
      <c r="L1201">
        <v>7409</v>
      </c>
      <c r="M1201" t="s">
        <v>3081</v>
      </c>
    </row>
    <row r="1202" spans="1:13" ht="15" x14ac:dyDescent="0.25">
      <c r="A1202" t="s">
        <v>116</v>
      </c>
      <c r="B1202" t="s">
        <v>11</v>
      </c>
      <c r="C1202" t="s">
        <v>12</v>
      </c>
      <c r="D1202" t="s">
        <v>24</v>
      </c>
      <c r="E1202" t="s">
        <v>25</v>
      </c>
      <c r="F1202" t="s">
        <v>26</v>
      </c>
      <c r="G1202" t="s">
        <v>26</v>
      </c>
      <c r="H1202"/>
      <c r="I1202"/>
      <c r="J1202"/>
      <c r="K1202" t="s">
        <v>4472</v>
      </c>
      <c r="L1202">
        <v>12367</v>
      </c>
      <c r="M1202" t="s">
        <v>3082</v>
      </c>
    </row>
    <row r="1203" spans="1:13" ht="15" x14ac:dyDescent="0.25">
      <c r="A1203" t="s">
        <v>1425</v>
      </c>
      <c r="B1203" t="s">
        <v>11</v>
      </c>
      <c r="C1203" t="s">
        <v>12</v>
      </c>
      <c r="D1203" t="s">
        <v>29</v>
      </c>
      <c r="E1203" t="s">
        <v>30</v>
      </c>
      <c r="F1203" t="s">
        <v>31</v>
      </c>
      <c r="G1203" t="s">
        <v>133</v>
      </c>
      <c r="H1203"/>
      <c r="I1203"/>
      <c r="J1203"/>
      <c r="K1203" t="s">
        <v>4473</v>
      </c>
      <c r="L1203">
        <v>519843</v>
      </c>
      <c r="M1203" t="s">
        <v>3083</v>
      </c>
    </row>
    <row r="1204" spans="1:13" ht="15" x14ac:dyDescent="0.25">
      <c r="A1204" t="s">
        <v>1350</v>
      </c>
      <c r="B1204" t="s">
        <v>11</v>
      </c>
      <c r="C1204" t="s">
        <v>12</v>
      </c>
      <c r="D1204" t="s">
        <v>29</v>
      </c>
      <c r="E1204" t="s">
        <v>30</v>
      </c>
      <c r="F1204" t="s">
        <v>31</v>
      </c>
      <c r="G1204" t="s">
        <v>90</v>
      </c>
      <c r="H1204" t="s">
        <v>1351</v>
      </c>
      <c r="I1204"/>
      <c r="J1204"/>
      <c r="K1204" t="s">
        <v>4474</v>
      </c>
      <c r="L1204">
        <v>79105</v>
      </c>
      <c r="M1204" t="s">
        <v>3084</v>
      </c>
    </row>
    <row r="1205" spans="1:13" ht="15" x14ac:dyDescent="0.25">
      <c r="A1205" t="s">
        <v>155</v>
      </c>
      <c r="B1205" t="s">
        <v>11</v>
      </c>
      <c r="C1205" t="s">
        <v>12</v>
      </c>
      <c r="D1205" t="s">
        <v>29</v>
      </c>
      <c r="E1205" t="s">
        <v>30</v>
      </c>
      <c r="F1205" t="s">
        <v>105</v>
      </c>
      <c r="G1205" t="s">
        <v>114</v>
      </c>
      <c r="H1205" t="s">
        <v>152</v>
      </c>
      <c r="I1205"/>
      <c r="J1205"/>
      <c r="K1205" t="s">
        <v>4475</v>
      </c>
      <c r="L1205">
        <v>5283324</v>
      </c>
      <c r="M1205" t="s">
        <v>3085</v>
      </c>
    </row>
    <row r="1206" spans="1:13" ht="15" x14ac:dyDescent="0.25">
      <c r="A1206" t="s">
        <v>153</v>
      </c>
      <c r="B1206" t="s">
        <v>11</v>
      </c>
      <c r="C1206" t="s">
        <v>12</v>
      </c>
      <c r="D1206" t="s">
        <v>29</v>
      </c>
      <c r="E1206" t="s">
        <v>30</v>
      </c>
      <c r="F1206" t="s">
        <v>105</v>
      </c>
      <c r="G1206" t="s">
        <v>114</v>
      </c>
      <c r="H1206" t="s">
        <v>152</v>
      </c>
      <c r="I1206"/>
      <c r="J1206"/>
      <c r="K1206" t="s">
        <v>4476</v>
      </c>
      <c r="L1206">
        <v>5283345</v>
      </c>
      <c r="M1206" t="s">
        <v>3086</v>
      </c>
    </row>
    <row r="1207" spans="1:13" ht="15" x14ac:dyDescent="0.25">
      <c r="A1207" t="s">
        <v>1053</v>
      </c>
      <c r="B1207" t="s">
        <v>11</v>
      </c>
      <c r="C1207" t="s">
        <v>12</v>
      </c>
      <c r="D1207" t="s">
        <v>29</v>
      </c>
      <c r="E1207" t="s">
        <v>30</v>
      </c>
      <c r="F1207" t="s">
        <v>105</v>
      </c>
      <c r="G1207" t="s">
        <v>106</v>
      </c>
      <c r="H1207"/>
      <c r="I1207"/>
      <c r="J1207"/>
      <c r="K1207" t="s">
        <v>4477</v>
      </c>
      <c r="L1207">
        <v>8051</v>
      </c>
      <c r="M1207" t="s">
        <v>3087</v>
      </c>
    </row>
    <row r="1208" spans="1:13" ht="15" x14ac:dyDescent="0.25">
      <c r="A1208" t="s">
        <v>212</v>
      </c>
      <c r="B1208" t="s">
        <v>11</v>
      </c>
      <c r="C1208" t="s">
        <v>12</v>
      </c>
      <c r="D1208" t="s">
        <v>101</v>
      </c>
      <c r="E1208" t="s">
        <v>102</v>
      </c>
      <c r="F1208"/>
      <c r="G1208" t="s">
        <v>102</v>
      </c>
      <c r="H1208"/>
      <c r="I1208"/>
      <c r="J1208"/>
      <c r="K1208" t="s">
        <v>4478</v>
      </c>
      <c r="L1208">
        <v>524268</v>
      </c>
      <c r="M1208" t="s">
        <v>3088</v>
      </c>
    </row>
    <row r="1209" spans="1:13" ht="15" x14ac:dyDescent="0.25">
      <c r="A1209" t="s">
        <v>1063</v>
      </c>
      <c r="B1209" t="s">
        <v>11</v>
      </c>
      <c r="C1209" t="s">
        <v>12</v>
      </c>
      <c r="D1209" t="s">
        <v>24</v>
      </c>
      <c r="E1209" t="s">
        <v>54</v>
      </c>
      <c r="F1209" t="s">
        <v>60</v>
      </c>
      <c r="G1209" t="s">
        <v>60</v>
      </c>
      <c r="H1209"/>
      <c r="I1209"/>
      <c r="J1209"/>
      <c r="K1209" t="s">
        <v>4479</v>
      </c>
      <c r="L1209">
        <v>10408</v>
      </c>
      <c r="M1209" t="s">
        <v>3089</v>
      </c>
    </row>
    <row r="1210" spans="1:13" ht="15" x14ac:dyDescent="0.25">
      <c r="A1210" t="s">
        <v>1760</v>
      </c>
      <c r="B1210" t="s">
        <v>11</v>
      </c>
      <c r="C1210" t="s">
        <v>12</v>
      </c>
      <c r="D1210" t="s">
        <v>13</v>
      </c>
      <c r="E1210" t="s">
        <v>14</v>
      </c>
      <c r="F1210" t="s">
        <v>15</v>
      </c>
      <c r="G1210" t="s">
        <v>16</v>
      </c>
      <c r="H1210"/>
      <c r="I1210"/>
      <c r="J1210"/>
      <c r="K1210" t="s">
        <v>4480</v>
      </c>
      <c r="L1210">
        <v>7803</v>
      </c>
      <c r="M1210" t="s">
        <v>3090</v>
      </c>
    </row>
    <row r="1211" spans="1:13" ht="15" x14ac:dyDescent="0.25">
      <c r="A1211" t="s">
        <v>597</v>
      </c>
      <c r="B1211" t="s">
        <v>11</v>
      </c>
      <c r="C1211" t="s">
        <v>12</v>
      </c>
      <c r="D1211" t="s">
        <v>24</v>
      </c>
      <c r="E1211" t="s">
        <v>25</v>
      </c>
      <c r="F1211" t="s">
        <v>489</v>
      </c>
      <c r="G1211" t="s">
        <v>489</v>
      </c>
      <c r="H1211"/>
      <c r="I1211"/>
      <c r="J1211"/>
      <c r="K1211" t="s">
        <v>4481</v>
      </c>
      <c r="L1211">
        <v>61184</v>
      </c>
      <c r="M1211" t="s">
        <v>3091</v>
      </c>
    </row>
    <row r="1212" spans="1:13" ht="15" x14ac:dyDescent="0.25">
      <c r="A1212" t="s">
        <v>1474</v>
      </c>
      <c r="B1212" t="s">
        <v>11</v>
      </c>
      <c r="C1212" t="s">
        <v>12</v>
      </c>
      <c r="D1212" t="s">
        <v>13</v>
      </c>
      <c r="E1212" t="s">
        <v>14</v>
      </c>
      <c r="F1212" t="s">
        <v>15</v>
      </c>
      <c r="G1212" t="s">
        <v>16</v>
      </c>
      <c r="H1212"/>
      <c r="I1212"/>
      <c r="J1212"/>
      <c r="K1212" t="s">
        <v>4482</v>
      </c>
      <c r="L1212">
        <v>31276</v>
      </c>
      <c r="M1212" t="s">
        <v>3092</v>
      </c>
    </row>
    <row r="1213" spans="1:13" ht="15" x14ac:dyDescent="0.25">
      <c r="A1213" t="s">
        <v>493</v>
      </c>
      <c r="B1213" t="s">
        <v>11</v>
      </c>
      <c r="C1213" t="s">
        <v>12</v>
      </c>
      <c r="D1213" t="s">
        <v>24</v>
      </c>
      <c r="E1213" t="s">
        <v>25</v>
      </c>
      <c r="F1213" t="s">
        <v>489</v>
      </c>
      <c r="G1213" t="s">
        <v>489</v>
      </c>
      <c r="H1213"/>
      <c r="I1213"/>
      <c r="J1213"/>
      <c r="K1213" t="s">
        <v>4483</v>
      </c>
      <c r="L1213">
        <v>10890</v>
      </c>
      <c r="M1213" t="s">
        <v>3093</v>
      </c>
    </row>
    <row r="1214" spans="1:13" ht="15" x14ac:dyDescent="0.25">
      <c r="A1214" t="s">
        <v>1489</v>
      </c>
      <c r="B1214" t="s">
        <v>11</v>
      </c>
      <c r="C1214" t="s">
        <v>12</v>
      </c>
      <c r="D1214" t="s">
        <v>36</v>
      </c>
      <c r="E1214" t="s">
        <v>44</v>
      </c>
      <c r="F1214" t="s">
        <v>370</v>
      </c>
      <c r="G1214" t="s">
        <v>391</v>
      </c>
      <c r="H1214"/>
      <c r="I1214"/>
      <c r="J1214"/>
      <c r="K1214" t="s">
        <v>4484</v>
      </c>
      <c r="L1214">
        <v>13654</v>
      </c>
      <c r="M1214" t="s">
        <v>3094</v>
      </c>
    </row>
    <row r="1215" spans="1:13" ht="15" x14ac:dyDescent="0.25">
      <c r="A1215" t="s">
        <v>1845</v>
      </c>
      <c r="B1215" t="s">
        <v>11</v>
      </c>
      <c r="C1215" t="s">
        <v>12</v>
      </c>
      <c r="D1215" t="s">
        <v>36</v>
      </c>
      <c r="E1215" t="s">
        <v>44</v>
      </c>
      <c r="F1215" t="s">
        <v>370</v>
      </c>
      <c r="G1215" t="s">
        <v>391</v>
      </c>
      <c r="H1215"/>
      <c r="I1215"/>
      <c r="J1215"/>
      <c r="K1215" t="s">
        <v>4485</v>
      </c>
      <c r="L1215">
        <v>16846</v>
      </c>
      <c r="M1215" t="s">
        <v>3095</v>
      </c>
    </row>
    <row r="1216" spans="1:13" ht="15" x14ac:dyDescent="0.25">
      <c r="A1216" t="s">
        <v>319</v>
      </c>
      <c r="B1216" t="s">
        <v>11</v>
      </c>
      <c r="C1216" t="s">
        <v>12</v>
      </c>
      <c r="D1216" t="s">
        <v>36</v>
      </c>
      <c r="E1216" t="s">
        <v>44</v>
      </c>
      <c r="F1216"/>
      <c r="G1216" t="s">
        <v>44</v>
      </c>
      <c r="H1216"/>
      <c r="I1216"/>
      <c r="J1216"/>
      <c r="K1216" t="s">
        <v>4486</v>
      </c>
      <c r="L1216">
        <v>31225</v>
      </c>
      <c r="M1216" t="s">
        <v>3096</v>
      </c>
    </row>
    <row r="1217" spans="1:13" ht="15" x14ac:dyDescent="0.25">
      <c r="A1217" t="s">
        <v>2221</v>
      </c>
      <c r="B1217" t="s">
        <v>11</v>
      </c>
      <c r="C1217" t="s">
        <v>12</v>
      </c>
      <c r="D1217" t="s">
        <v>24</v>
      </c>
      <c r="E1217" t="s">
        <v>54</v>
      </c>
      <c r="F1217" t="s">
        <v>60</v>
      </c>
      <c r="G1217" t="s">
        <v>60</v>
      </c>
      <c r="H1217"/>
      <c r="I1217"/>
      <c r="J1217"/>
      <c r="K1217" t="s">
        <v>4487</v>
      </c>
      <c r="L1217">
        <v>5281522</v>
      </c>
      <c r="M1217" t="s">
        <v>3097</v>
      </c>
    </row>
    <row r="1218" spans="1:13" ht="15" x14ac:dyDescent="0.25">
      <c r="A1218" t="s">
        <v>1006</v>
      </c>
      <c r="B1218" t="s">
        <v>11</v>
      </c>
      <c r="C1218" t="s">
        <v>12</v>
      </c>
      <c r="D1218" t="s">
        <v>29</v>
      </c>
      <c r="E1218" t="s">
        <v>30</v>
      </c>
      <c r="F1218" t="s">
        <v>31</v>
      </c>
      <c r="G1218" t="s">
        <v>133</v>
      </c>
      <c r="H1218"/>
      <c r="I1218"/>
      <c r="J1218"/>
      <c r="K1218" t="s">
        <v>4488</v>
      </c>
      <c r="L1218">
        <v>94334</v>
      </c>
      <c r="M1218" t="s">
        <v>3098</v>
      </c>
    </row>
    <row r="1219" spans="1:13" ht="15" x14ac:dyDescent="0.25">
      <c r="A1219" t="s">
        <v>2205</v>
      </c>
      <c r="B1219" t="s">
        <v>11</v>
      </c>
      <c r="C1219" t="s">
        <v>12</v>
      </c>
      <c r="D1219" t="s">
        <v>24</v>
      </c>
      <c r="E1219" t="s">
        <v>54</v>
      </c>
      <c r="F1219" t="s">
        <v>60</v>
      </c>
      <c r="G1219" t="s">
        <v>60</v>
      </c>
      <c r="H1219"/>
      <c r="I1219"/>
      <c r="J1219"/>
      <c r="K1219" t="s">
        <v>4489</v>
      </c>
      <c r="L1219">
        <v>29408</v>
      </c>
      <c r="M1219" t="s">
        <v>3099</v>
      </c>
    </row>
    <row r="1220" spans="1:13" ht="15" x14ac:dyDescent="0.25">
      <c r="A1220" t="s">
        <v>2244</v>
      </c>
      <c r="B1220" t="s">
        <v>11</v>
      </c>
      <c r="C1220" t="s">
        <v>12</v>
      </c>
      <c r="D1220" t="s">
        <v>24</v>
      </c>
      <c r="E1220" t="s">
        <v>54</v>
      </c>
      <c r="F1220" t="s">
        <v>60</v>
      </c>
      <c r="G1220" t="s">
        <v>977</v>
      </c>
      <c r="H1220"/>
      <c r="I1220"/>
      <c r="J1220"/>
      <c r="K1220" t="s">
        <v>4490</v>
      </c>
      <c r="L1220">
        <v>88900</v>
      </c>
      <c r="M1220" t="s">
        <v>3100</v>
      </c>
    </row>
    <row r="1221" spans="1:13" ht="15" x14ac:dyDescent="0.25">
      <c r="A1221" t="s">
        <v>1342</v>
      </c>
      <c r="B1221" t="s">
        <v>11</v>
      </c>
      <c r="C1221" t="s">
        <v>12</v>
      </c>
      <c r="D1221" t="s">
        <v>24</v>
      </c>
      <c r="E1221" t="s">
        <v>54</v>
      </c>
      <c r="F1221" t="s">
        <v>60</v>
      </c>
      <c r="G1221" t="s">
        <v>60</v>
      </c>
      <c r="H1221"/>
      <c r="I1221"/>
      <c r="J1221"/>
      <c r="K1221" t="s">
        <v>4491</v>
      </c>
      <c r="L1221">
        <v>585005</v>
      </c>
      <c r="M1221" t="s">
        <v>3101</v>
      </c>
    </row>
    <row r="1222" spans="1:13" ht="15" x14ac:dyDescent="0.25">
      <c r="A1222" t="s">
        <v>1329</v>
      </c>
      <c r="B1222" t="s">
        <v>11</v>
      </c>
      <c r="C1222" t="s">
        <v>12</v>
      </c>
      <c r="D1222" t="s">
        <v>101</v>
      </c>
      <c r="E1222" t="s">
        <v>1330</v>
      </c>
      <c r="F1222"/>
      <c r="G1222" t="s">
        <v>1330</v>
      </c>
      <c r="H1222"/>
      <c r="I1222"/>
      <c r="J1222"/>
      <c r="K1222" t="s">
        <v>4492</v>
      </c>
      <c r="L1222">
        <v>578868</v>
      </c>
      <c r="M1222" t="s">
        <v>3102</v>
      </c>
    </row>
    <row r="1223" spans="1:13" ht="15" x14ac:dyDescent="0.25">
      <c r="A1223" t="s">
        <v>173</v>
      </c>
      <c r="B1223" t="s">
        <v>11</v>
      </c>
      <c r="C1223" t="s">
        <v>12</v>
      </c>
      <c r="D1223" t="s">
        <v>101</v>
      </c>
      <c r="E1223" t="s">
        <v>174</v>
      </c>
      <c r="F1223" t="s">
        <v>175</v>
      </c>
      <c r="G1223" t="s">
        <v>176</v>
      </c>
      <c r="H1223"/>
      <c r="I1223"/>
      <c r="J1223"/>
      <c r="K1223" t="s">
        <v>4493</v>
      </c>
      <c r="L1223">
        <v>29909</v>
      </c>
      <c r="M1223" t="s">
        <v>3103</v>
      </c>
    </row>
    <row r="1224" spans="1:13" ht="15" x14ac:dyDescent="0.25">
      <c r="A1224" t="s">
        <v>1444</v>
      </c>
      <c r="B1224" t="s">
        <v>11</v>
      </c>
      <c r="C1224" t="s">
        <v>12</v>
      </c>
      <c r="D1224" t="s">
        <v>101</v>
      </c>
      <c r="E1224" t="s">
        <v>199</v>
      </c>
      <c r="F1224" t="s">
        <v>200</v>
      </c>
      <c r="G1224" t="s">
        <v>200</v>
      </c>
      <c r="H1224"/>
      <c r="I1224"/>
      <c r="J1224"/>
      <c r="K1224" t="s">
        <v>4494</v>
      </c>
      <c r="L1224">
        <v>26312</v>
      </c>
      <c r="M1224" t="s">
        <v>3104</v>
      </c>
    </row>
    <row r="1225" spans="1:13" ht="15" x14ac:dyDescent="0.25">
      <c r="A1225" t="s">
        <v>1731</v>
      </c>
      <c r="B1225" t="s">
        <v>11</v>
      </c>
      <c r="C1225" t="s">
        <v>12</v>
      </c>
      <c r="D1225" t="s">
        <v>36</v>
      </c>
      <c r="E1225" t="s">
        <v>44</v>
      </c>
      <c r="F1225" t="s">
        <v>139</v>
      </c>
      <c r="G1225" t="s">
        <v>140</v>
      </c>
      <c r="H1225"/>
      <c r="I1225"/>
      <c r="J1225"/>
      <c r="K1225" t="s">
        <v>4495</v>
      </c>
      <c r="L1225">
        <v>9016</v>
      </c>
      <c r="M1225" t="s">
        <v>3105</v>
      </c>
    </row>
    <row r="1226" spans="1:13" ht="15" x14ac:dyDescent="0.25">
      <c r="A1226" t="s">
        <v>482</v>
      </c>
      <c r="B1226" t="s">
        <v>11</v>
      </c>
      <c r="C1226" t="s">
        <v>12</v>
      </c>
      <c r="D1226" t="s">
        <v>36</v>
      </c>
      <c r="E1226" t="s">
        <v>44</v>
      </c>
      <c r="F1226" t="s">
        <v>139</v>
      </c>
      <c r="G1226" t="s">
        <v>140</v>
      </c>
      <c r="H1226"/>
      <c r="I1226"/>
      <c r="J1226"/>
      <c r="K1226" t="s">
        <v>4496</v>
      </c>
      <c r="L1226">
        <v>77844</v>
      </c>
      <c r="M1226" t="s">
        <v>3106</v>
      </c>
    </row>
    <row r="1227" spans="1:13" ht="15" x14ac:dyDescent="0.25">
      <c r="A1227" t="s">
        <v>2208</v>
      </c>
      <c r="B1227" t="s">
        <v>11</v>
      </c>
      <c r="C1227" t="s">
        <v>12</v>
      </c>
      <c r="D1227" t="s">
        <v>101</v>
      </c>
      <c r="E1227" t="s">
        <v>338</v>
      </c>
      <c r="F1227"/>
      <c r="G1227" t="s">
        <v>338</v>
      </c>
      <c r="H1227"/>
      <c r="I1227"/>
      <c r="J1227"/>
      <c r="K1227" t="s">
        <v>4497</v>
      </c>
      <c r="L1227">
        <v>534683</v>
      </c>
      <c r="M1227" t="s">
        <v>3107</v>
      </c>
    </row>
    <row r="1228" spans="1:13" ht="15" x14ac:dyDescent="0.25">
      <c r="A1228" t="s">
        <v>1325</v>
      </c>
      <c r="B1228" t="s">
        <v>11</v>
      </c>
      <c r="C1228" t="s">
        <v>12</v>
      </c>
      <c r="D1228" t="s">
        <v>24</v>
      </c>
      <c r="E1228" t="s">
        <v>54</v>
      </c>
      <c r="F1228" t="s">
        <v>60</v>
      </c>
      <c r="G1228" t="s">
        <v>60</v>
      </c>
      <c r="H1228"/>
      <c r="I1228"/>
      <c r="J1228"/>
      <c r="K1228" t="s">
        <v>4498</v>
      </c>
      <c r="L1228">
        <v>536595</v>
      </c>
      <c r="M1228" t="s">
        <v>3108</v>
      </c>
    </row>
    <row r="1229" spans="1:13" ht="15" x14ac:dyDescent="0.25">
      <c r="A1229" t="s">
        <v>198</v>
      </c>
      <c r="B1229" t="s">
        <v>11</v>
      </c>
      <c r="C1229" t="s">
        <v>12</v>
      </c>
      <c r="D1229" t="s">
        <v>29</v>
      </c>
      <c r="E1229" t="s">
        <v>30</v>
      </c>
      <c r="F1229" t="s">
        <v>105</v>
      </c>
      <c r="G1229" t="s">
        <v>114</v>
      </c>
      <c r="H1229" t="s">
        <v>115</v>
      </c>
      <c r="I1229"/>
      <c r="J1229"/>
      <c r="K1229" t="s">
        <v>4499</v>
      </c>
      <c r="L1229">
        <v>12097</v>
      </c>
      <c r="M1229" t="s">
        <v>3109</v>
      </c>
    </row>
    <row r="1230" spans="1:13" ht="15" x14ac:dyDescent="0.25">
      <c r="A1230" t="s">
        <v>208</v>
      </c>
      <c r="B1230" t="s">
        <v>11</v>
      </c>
      <c r="C1230" t="s">
        <v>12</v>
      </c>
      <c r="D1230" t="s">
        <v>29</v>
      </c>
      <c r="E1230" t="s">
        <v>30</v>
      </c>
      <c r="F1230" t="s">
        <v>105</v>
      </c>
      <c r="G1230" t="s">
        <v>114</v>
      </c>
      <c r="H1230" t="s">
        <v>152</v>
      </c>
      <c r="I1230"/>
      <c r="J1230"/>
      <c r="K1230" t="s">
        <v>4500</v>
      </c>
      <c r="L1230">
        <v>5283321</v>
      </c>
      <c r="M1230" t="s">
        <v>3110</v>
      </c>
    </row>
    <row r="1231" spans="1:13" ht="15" x14ac:dyDescent="0.25">
      <c r="A1231" t="s">
        <v>979</v>
      </c>
      <c r="B1231" t="s">
        <v>11</v>
      </c>
      <c r="C1231" t="s">
        <v>12</v>
      </c>
      <c r="D1231" t="s">
        <v>24</v>
      </c>
      <c r="E1231" t="s">
        <v>54</v>
      </c>
      <c r="F1231" t="s">
        <v>60</v>
      </c>
      <c r="G1231" t="s">
        <v>60</v>
      </c>
      <c r="H1231"/>
      <c r="I1231"/>
      <c r="J1231"/>
      <c r="K1231" t="s">
        <v>4501</v>
      </c>
      <c r="L1231">
        <v>530428</v>
      </c>
      <c r="M1231" t="s">
        <v>3111</v>
      </c>
    </row>
    <row r="1232" spans="1:13" ht="15" x14ac:dyDescent="0.25">
      <c r="A1232" t="s">
        <v>460</v>
      </c>
      <c r="B1232" t="s">
        <v>11</v>
      </c>
      <c r="C1232" t="s">
        <v>12</v>
      </c>
      <c r="D1232" t="s">
        <v>36</v>
      </c>
      <c r="E1232" t="s">
        <v>44</v>
      </c>
      <c r="F1232" t="s">
        <v>366</v>
      </c>
      <c r="G1232" t="s">
        <v>366</v>
      </c>
      <c r="H1232"/>
      <c r="I1232"/>
      <c r="J1232"/>
      <c r="K1232" t="s">
        <v>4502</v>
      </c>
      <c r="L1232">
        <v>7708</v>
      </c>
      <c r="M1232" t="s">
        <v>3112</v>
      </c>
    </row>
    <row r="1233" spans="1:13" ht="15" x14ac:dyDescent="0.25">
      <c r="A1233" t="s">
        <v>1785</v>
      </c>
      <c r="B1233" t="s">
        <v>11</v>
      </c>
      <c r="C1233" t="s">
        <v>12</v>
      </c>
      <c r="D1233" t="s">
        <v>36</v>
      </c>
      <c r="E1233" t="s">
        <v>44</v>
      </c>
      <c r="F1233" t="s">
        <v>366</v>
      </c>
      <c r="G1233" t="s">
        <v>366</v>
      </c>
      <c r="H1233"/>
      <c r="I1233"/>
      <c r="J1233"/>
      <c r="K1233" t="s">
        <v>4503</v>
      </c>
      <c r="L1233">
        <v>7646</v>
      </c>
      <c r="M1233" t="s">
        <v>3113</v>
      </c>
    </row>
    <row r="1234" spans="1:13" ht="15" x14ac:dyDescent="0.25">
      <c r="A1234" t="s">
        <v>1954</v>
      </c>
      <c r="B1234" t="s">
        <v>11</v>
      </c>
      <c r="C1234" t="s">
        <v>12</v>
      </c>
      <c r="D1234" t="s">
        <v>24</v>
      </c>
      <c r="E1234" t="s">
        <v>54</v>
      </c>
      <c r="F1234" t="s">
        <v>55</v>
      </c>
      <c r="G1234" t="s">
        <v>56</v>
      </c>
      <c r="H1234"/>
      <c r="I1234"/>
      <c r="J1234"/>
      <c r="K1234" t="s">
        <v>4504</v>
      </c>
      <c r="L1234">
        <v>93073</v>
      </c>
      <c r="M1234" t="s">
        <v>3114</v>
      </c>
    </row>
    <row r="1235" spans="1:13" ht="15" x14ac:dyDescent="0.25">
      <c r="A1235" t="s">
        <v>2166</v>
      </c>
      <c r="B1235" t="s">
        <v>11</v>
      </c>
      <c r="C1235" t="s">
        <v>12</v>
      </c>
      <c r="D1235" t="s">
        <v>24</v>
      </c>
      <c r="E1235" t="s">
        <v>54</v>
      </c>
      <c r="F1235" t="s">
        <v>60</v>
      </c>
      <c r="G1235" t="s">
        <v>60</v>
      </c>
      <c r="H1235"/>
      <c r="I1235"/>
      <c r="J1235"/>
      <c r="K1235" t="s">
        <v>4505</v>
      </c>
      <c r="L1235">
        <v>564934</v>
      </c>
      <c r="M1235" t="s">
        <v>3115</v>
      </c>
    </row>
    <row r="1236" spans="1:13" ht="15" x14ac:dyDescent="0.25">
      <c r="A1236" t="s">
        <v>2219</v>
      </c>
      <c r="B1236" t="s">
        <v>11</v>
      </c>
      <c r="C1236" t="s">
        <v>12</v>
      </c>
      <c r="D1236" t="s">
        <v>24</v>
      </c>
      <c r="E1236" t="s">
        <v>54</v>
      </c>
      <c r="F1236" t="s">
        <v>60</v>
      </c>
      <c r="G1236" t="s">
        <v>474</v>
      </c>
      <c r="H1236"/>
      <c r="I1236"/>
      <c r="J1236"/>
      <c r="K1236" t="s">
        <v>4506</v>
      </c>
      <c r="L1236">
        <v>92138</v>
      </c>
      <c r="M1236" t="s">
        <v>3116</v>
      </c>
    </row>
    <row r="1237" spans="1:13" ht="15" x14ac:dyDescent="0.25">
      <c r="A1237" t="s">
        <v>1842</v>
      </c>
      <c r="B1237" t="s">
        <v>11</v>
      </c>
      <c r="C1237" t="s">
        <v>12</v>
      </c>
      <c r="D1237" t="s">
        <v>36</v>
      </c>
      <c r="E1237" t="s">
        <v>37</v>
      </c>
      <c r="F1237" t="s">
        <v>396</v>
      </c>
      <c r="G1237" t="s">
        <v>396</v>
      </c>
      <c r="H1237"/>
      <c r="I1237"/>
      <c r="J1237"/>
      <c r="K1237" t="s">
        <v>4507</v>
      </c>
      <c r="L1237">
        <v>996</v>
      </c>
      <c r="M1237" t="s">
        <v>3117</v>
      </c>
    </row>
    <row r="1238" spans="1:13" ht="15" x14ac:dyDescent="0.25">
      <c r="A1238" t="s">
        <v>1426</v>
      </c>
      <c r="B1238" t="s">
        <v>11</v>
      </c>
      <c r="C1238" t="s">
        <v>12</v>
      </c>
      <c r="D1238" t="s">
        <v>101</v>
      </c>
      <c r="E1238" t="s">
        <v>1427</v>
      </c>
      <c r="F1238"/>
      <c r="G1238" t="s">
        <v>1427</v>
      </c>
      <c r="H1238"/>
      <c r="I1238"/>
      <c r="J1238"/>
      <c r="K1238" t="s">
        <v>4508</v>
      </c>
      <c r="L1238">
        <v>61953</v>
      </c>
      <c r="M1238" t="s">
        <v>3118</v>
      </c>
    </row>
    <row r="1239" spans="1:13" ht="15" x14ac:dyDescent="0.25">
      <c r="A1239" t="s">
        <v>33</v>
      </c>
      <c r="B1239" t="s">
        <v>11</v>
      </c>
      <c r="C1239" t="s">
        <v>12</v>
      </c>
      <c r="D1239" t="s">
        <v>24</v>
      </c>
      <c r="E1239" t="s">
        <v>25</v>
      </c>
      <c r="F1239" t="s">
        <v>26</v>
      </c>
      <c r="G1239" t="s">
        <v>26</v>
      </c>
      <c r="H1239"/>
      <c r="I1239"/>
      <c r="J1239"/>
      <c r="K1239" t="s">
        <v>4509</v>
      </c>
      <c r="L1239">
        <v>8129</v>
      </c>
      <c r="M1239" t="s">
        <v>3119</v>
      </c>
    </row>
    <row r="1240" spans="1:13" ht="15" x14ac:dyDescent="0.25">
      <c r="A1240" t="s">
        <v>2156</v>
      </c>
      <c r="B1240" t="s">
        <v>11</v>
      </c>
      <c r="C1240" t="s">
        <v>12</v>
      </c>
      <c r="D1240" t="s">
        <v>24</v>
      </c>
      <c r="E1240" t="s">
        <v>54</v>
      </c>
      <c r="F1240" t="s">
        <v>55</v>
      </c>
      <c r="G1240" t="s">
        <v>56</v>
      </c>
      <c r="H1240"/>
      <c r="I1240"/>
      <c r="J1240"/>
      <c r="K1240" t="s">
        <v>4510</v>
      </c>
      <c r="L1240">
        <v>564727</v>
      </c>
      <c r="M1240" t="s">
        <v>3120</v>
      </c>
    </row>
    <row r="1241" spans="1:13" ht="15" x14ac:dyDescent="0.25">
      <c r="A1241" t="s">
        <v>151</v>
      </c>
      <c r="B1241" t="s">
        <v>11</v>
      </c>
      <c r="C1241" t="s">
        <v>12</v>
      </c>
      <c r="D1241" t="s">
        <v>29</v>
      </c>
      <c r="E1241" t="s">
        <v>30</v>
      </c>
      <c r="F1241" t="s">
        <v>105</v>
      </c>
      <c r="G1241" t="s">
        <v>114</v>
      </c>
      <c r="H1241" t="s">
        <v>152</v>
      </c>
      <c r="I1241"/>
      <c r="J1241"/>
      <c r="K1241" t="s">
        <v>4511</v>
      </c>
      <c r="L1241">
        <v>5283356</v>
      </c>
      <c r="M1241" t="s">
        <v>3121</v>
      </c>
    </row>
    <row r="1242" spans="1:13" ht="15" x14ac:dyDescent="0.25">
      <c r="A1242" t="s">
        <v>1022</v>
      </c>
      <c r="B1242" t="s">
        <v>11</v>
      </c>
      <c r="C1242" t="s">
        <v>12</v>
      </c>
      <c r="D1242" t="s">
        <v>29</v>
      </c>
      <c r="E1242" t="s">
        <v>30</v>
      </c>
      <c r="F1242" t="s">
        <v>105</v>
      </c>
      <c r="G1242" t="s">
        <v>106</v>
      </c>
      <c r="H1242" t="s">
        <v>1020</v>
      </c>
      <c r="I1242" t="s">
        <v>1021</v>
      </c>
      <c r="J1242" t="s">
        <v>2488</v>
      </c>
      <c r="K1242" t="s">
        <v>4512</v>
      </c>
      <c r="L1242">
        <v>4650</v>
      </c>
      <c r="M1242" t="s">
        <v>3122</v>
      </c>
    </row>
    <row r="1243" spans="1:13" ht="15" x14ac:dyDescent="0.25">
      <c r="A1243" t="s">
        <v>1030</v>
      </c>
      <c r="B1243" t="s">
        <v>11</v>
      </c>
      <c r="C1243" t="s">
        <v>12</v>
      </c>
      <c r="D1243" t="s">
        <v>29</v>
      </c>
      <c r="E1243" t="s">
        <v>30</v>
      </c>
      <c r="F1243" t="s">
        <v>105</v>
      </c>
      <c r="G1243" t="s">
        <v>158</v>
      </c>
      <c r="H1243" t="s">
        <v>622</v>
      </c>
      <c r="I1243" t="s">
        <v>623</v>
      </c>
      <c r="J1243"/>
      <c r="K1243" t="s">
        <v>4513</v>
      </c>
      <c r="L1243">
        <v>5317045</v>
      </c>
      <c r="M1243" t="s">
        <v>3123</v>
      </c>
    </row>
    <row r="1244" spans="1:13" ht="15" x14ac:dyDescent="0.25">
      <c r="A1244" t="s">
        <v>1964</v>
      </c>
      <c r="B1244" t="s">
        <v>11</v>
      </c>
      <c r="C1244" t="s">
        <v>12</v>
      </c>
      <c r="D1244" t="s">
        <v>24</v>
      </c>
      <c r="E1244" t="s">
        <v>54</v>
      </c>
      <c r="F1244" t="s">
        <v>55</v>
      </c>
      <c r="G1244" t="s">
        <v>58</v>
      </c>
      <c r="H1244"/>
      <c r="I1244"/>
      <c r="J1244"/>
      <c r="K1244" t="s">
        <v>4514</v>
      </c>
      <c r="L1244">
        <v>1549778</v>
      </c>
      <c r="M1244" t="s">
        <v>3124</v>
      </c>
    </row>
    <row r="1245" spans="1:13" ht="15" x14ac:dyDescent="0.25">
      <c r="A1245" t="s">
        <v>497</v>
      </c>
      <c r="B1245" t="s">
        <v>11</v>
      </c>
      <c r="C1245" t="s">
        <v>12</v>
      </c>
      <c r="D1245" t="s">
        <v>24</v>
      </c>
      <c r="E1245" t="s">
        <v>25</v>
      </c>
      <c r="F1245" t="s">
        <v>489</v>
      </c>
      <c r="G1245" t="s">
        <v>489</v>
      </c>
      <c r="H1245"/>
      <c r="I1245"/>
      <c r="J1245"/>
      <c r="K1245" t="s">
        <v>4515</v>
      </c>
      <c r="L1245">
        <v>7799</v>
      </c>
      <c r="M1245" t="s">
        <v>3125</v>
      </c>
    </row>
    <row r="1246" spans="1:13" ht="15" x14ac:dyDescent="0.25">
      <c r="A1246" t="s">
        <v>520</v>
      </c>
      <c r="B1246" t="s">
        <v>11</v>
      </c>
      <c r="C1246" t="s">
        <v>12</v>
      </c>
      <c r="D1246" t="s">
        <v>24</v>
      </c>
      <c r="E1246" t="s">
        <v>25</v>
      </c>
      <c r="F1246" t="s">
        <v>489</v>
      </c>
      <c r="G1246" t="s">
        <v>500</v>
      </c>
      <c r="H1246"/>
      <c r="I1246"/>
      <c r="J1246"/>
      <c r="K1246" t="s">
        <v>4516</v>
      </c>
      <c r="L1246">
        <v>643801</v>
      </c>
      <c r="M1246" t="s">
        <v>3126</v>
      </c>
    </row>
    <row r="1247" spans="1:13" ht="15" x14ac:dyDescent="0.25">
      <c r="A1247" t="s">
        <v>706</v>
      </c>
      <c r="B1247" t="s">
        <v>11</v>
      </c>
      <c r="C1247" t="s">
        <v>12</v>
      </c>
      <c r="D1247" t="s">
        <v>707</v>
      </c>
      <c r="E1247"/>
      <c r="F1247"/>
      <c r="G1247" t="s">
        <v>707</v>
      </c>
      <c r="H1247"/>
      <c r="I1247"/>
      <c r="J1247"/>
      <c r="K1247" t="s">
        <v>4517</v>
      </c>
      <c r="L1247">
        <v>75249</v>
      </c>
      <c r="M1247" t="s">
        <v>3127</v>
      </c>
    </row>
    <row r="1248" spans="1:13" ht="15" x14ac:dyDescent="0.25">
      <c r="A1248" t="s">
        <v>1730</v>
      </c>
      <c r="B1248" t="s">
        <v>11</v>
      </c>
      <c r="C1248" t="s">
        <v>12</v>
      </c>
      <c r="D1248" t="s">
        <v>36</v>
      </c>
      <c r="E1248" t="s">
        <v>44</v>
      </c>
      <c r="F1248" t="s">
        <v>139</v>
      </c>
      <c r="G1248" t="s">
        <v>140</v>
      </c>
      <c r="H1248"/>
      <c r="I1248"/>
      <c r="J1248"/>
      <c r="K1248" t="s">
        <v>4518</v>
      </c>
      <c r="L1248">
        <v>7043</v>
      </c>
      <c r="M1248" t="s">
        <v>3128</v>
      </c>
    </row>
    <row r="1249" spans="1:13" ht="15" x14ac:dyDescent="0.25">
      <c r="A1249" t="s">
        <v>1709</v>
      </c>
      <c r="B1249" t="s">
        <v>11</v>
      </c>
      <c r="C1249" t="s">
        <v>12</v>
      </c>
      <c r="D1249" t="s">
        <v>111</v>
      </c>
      <c r="E1249" t="s">
        <v>1071</v>
      </c>
      <c r="F1249" t="s">
        <v>1590</v>
      </c>
      <c r="G1249" t="s">
        <v>1591</v>
      </c>
      <c r="H1249" t="s">
        <v>1708</v>
      </c>
      <c r="I1249"/>
      <c r="J1249"/>
      <c r="K1249" t="s">
        <v>4519</v>
      </c>
      <c r="L1249">
        <v>5281812</v>
      </c>
      <c r="M1249" t="s">
        <v>3129</v>
      </c>
    </row>
    <row r="1250" spans="1:13" ht="15" x14ac:dyDescent="0.25">
      <c r="A1250" t="s">
        <v>1041</v>
      </c>
      <c r="B1250" t="s">
        <v>11</v>
      </c>
      <c r="C1250" t="s">
        <v>12</v>
      </c>
      <c r="D1250" t="s">
        <v>36</v>
      </c>
      <c r="E1250" t="s">
        <v>44</v>
      </c>
      <c r="F1250" t="s">
        <v>1042</v>
      </c>
      <c r="G1250" t="s">
        <v>1042</v>
      </c>
      <c r="H1250"/>
      <c r="I1250"/>
      <c r="J1250"/>
      <c r="K1250" t="s">
        <v>4520</v>
      </c>
      <c r="L1250">
        <v>3102</v>
      </c>
      <c r="M1250" t="s">
        <v>3130</v>
      </c>
    </row>
    <row r="1251" spans="1:13" ht="15" x14ac:dyDescent="0.25">
      <c r="A1251" t="s">
        <v>2176</v>
      </c>
      <c r="B1251" t="s">
        <v>11</v>
      </c>
      <c r="C1251" t="s">
        <v>12</v>
      </c>
      <c r="D1251" t="s">
        <v>29</v>
      </c>
      <c r="E1251" t="s">
        <v>30</v>
      </c>
      <c r="F1251" t="s">
        <v>105</v>
      </c>
      <c r="G1251" t="s">
        <v>106</v>
      </c>
      <c r="H1251" t="s">
        <v>107</v>
      </c>
      <c r="I1251" t="s">
        <v>108</v>
      </c>
      <c r="J1251" t="s">
        <v>109</v>
      </c>
      <c r="K1251" t="s">
        <v>4521</v>
      </c>
      <c r="L1251">
        <v>637105</v>
      </c>
      <c r="M1251" t="s">
        <v>3131</v>
      </c>
    </row>
    <row r="1252" spans="1:13" ht="15" x14ac:dyDescent="0.25">
      <c r="A1252" t="s">
        <v>2442</v>
      </c>
      <c r="B1252" t="s">
        <v>11</v>
      </c>
      <c r="C1252" t="s">
        <v>12</v>
      </c>
      <c r="D1252" t="s">
        <v>24</v>
      </c>
      <c r="E1252" t="s">
        <v>25</v>
      </c>
      <c r="F1252" t="s">
        <v>489</v>
      </c>
      <c r="G1252" t="s">
        <v>489</v>
      </c>
      <c r="H1252"/>
      <c r="I1252"/>
      <c r="J1252"/>
      <c r="K1252" t="s">
        <v>4522</v>
      </c>
      <c r="L1252">
        <v>6112842</v>
      </c>
      <c r="M1252" t="s">
        <v>3132</v>
      </c>
    </row>
    <row r="1253" spans="1:13" ht="15" x14ac:dyDescent="0.25">
      <c r="A1253" t="s">
        <v>2443</v>
      </c>
      <c r="B1253" t="s">
        <v>11</v>
      </c>
      <c r="C1253" t="s">
        <v>12</v>
      </c>
      <c r="D1253" t="s">
        <v>36</v>
      </c>
      <c r="E1253" t="s">
        <v>44</v>
      </c>
      <c r="F1253" t="s">
        <v>2474</v>
      </c>
      <c r="G1253" t="s">
        <v>2474</v>
      </c>
      <c r="H1253"/>
      <c r="I1253"/>
      <c r="J1253"/>
      <c r="K1253" t="s">
        <v>4523</v>
      </c>
      <c r="L1253">
        <v>2723941</v>
      </c>
      <c r="M1253" t="s">
        <v>3133</v>
      </c>
    </row>
    <row r="1254" spans="1:13" ht="15" x14ac:dyDescent="0.25">
      <c r="A1254" t="s">
        <v>2444</v>
      </c>
      <c r="B1254" t="s">
        <v>11</v>
      </c>
      <c r="C1254" t="s">
        <v>12</v>
      </c>
      <c r="D1254" t="s">
        <v>36</v>
      </c>
      <c r="E1254" t="s">
        <v>37</v>
      </c>
      <c r="F1254" t="s">
        <v>77</v>
      </c>
      <c r="G1254" t="s">
        <v>78</v>
      </c>
      <c r="H1254"/>
      <c r="I1254"/>
      <c r="J1254"/>
      <c r="K1254" t="s">
        <v>4524</v>
      </c>
      <c r="L1254">
        <v>90884798</v>
      </c>
      <c r="M1254" t="s">
        <v>3134</v>
      </c>
    </row>
    <row r="1255" spans="1:13" ht="15" x14ac:dyDescent="0.25">
      <c r="A1255" t="s">
        <v>2445</v>
      </c>
      <c r="B1255" t="s">
        <v>11</v>
      </c>
      <c r="C1255" t="s">
        <v>12</v>
      </c>
      <c r="D1255" t="s">
        <v>36</v>
      </c>
      <c r="E1255" t="s">
        <v>37</v>
      </c>
      <c r="F1255" t="s">
        <v>77</v>
      </c>
      <c r="G1255" t="s">
        <v>78</v>
      </c>
      <c r="H1255"/>
      <c r="I1255"/>
      <c r="J1255"/>
      <c r="K1255" t="s">
        <v>4525</v>
      </c>
      <c r="L1255">
        <v>90971740</v>
      </c>
      <c r="M1255" t="s">
        <v>3135</v>
      </c>
    </row>
    <row r="1256" spans="1:13" ht="15" x14ac:dyDescent="0.25">
      <c r="A1256" t="s">
        <v>2446</v>
      </c>
      <c r="B1256" t="s">
        <v>11</v>
      </c>
      <c r="C1256" t="s">
        <v>12</v>
      </c>
      <c r="D1256" t="s">
        <v>24</v>
      </c>
      <c r="E1256" t="s">
        <v>54</v>
      </c>
      <c r="F1256" t="s">
        <v>986</v>
      </c>
      <c r="G1256" t="s">
        <v>986</v>
      </c>
      <c r="H1256"/>
      <c r="I1256"/>
      <c r="J1256"/>
      <c r="K1256" t="s">
        <v>4526</v>
      </c>
      <c r="L1256">
        <v>619166</v>
      </c>
      <c r="M1256" t="s">
        <v>3136</v>
      </c>
    </row>
    <row r="1257" spans="1:13" ht="15" x14ac:dyDescent="0.25">
      <c r="A1257" t="s">
        <v>2281</v>
      </c>
      <c r="B1257" t="s">
        <v>11</v>
      </c>
      <c r="C1257" t="s">
        <v>12</v>
      </c>
      <c r="D1257" t="s">
        <v>24</v>
      </c>
      <c r="E1257" t="s">
        <v>54</v>
      </c>
      <c r="F1257" t="s">
        <v>986</v>
      </c>
      <c r="G1257" t="s">
        <v>986</v>
      </c>
      <c r="H1257"/>
      <c r="I1257"/>
      <c r="J1257"/>
      <c r="K1257" t="s">
        <v>4527</v>
      </c>
      <c r="L1257">
        <v>73659</v>
      </c>
      <c r="M1257" t="s">
        <v>3137</v>
      </c>
    </row>
    <row r="1258" spans="1:13" ht="15" x14ac:dyDescent="0.25">
      <c r="A1258" t="s">
        <v>1439</v>
      </c>
      <c r="B1258" t="s">
        <v>11</v>
      </c>
      <c r="C1258" t="s">
        <v>12</v>
      </c>
      <c r="D1258" t="s">
        <v>111</v>
      </c>
      <c r="E1258" t="s">
        <v>167</v>
      </c>
      <c r="F1258" t="s">
        <v>1163</v>
      </c>
      <c r="G1258" t="s">
        <v>1164</v>
      </c>
      <c r="H1258"/>
      <c r="I1258"/>
      <c r="J1258"/>
      <c r="K1258" t="s">
        <v>4528</v>
      </c>
      <c r="L1258">
        <v>5280460</v>
      </c>
      <c r="M1258" t="s">
        <v>3138</v>
      </c>
    </row>
    <row r="1259" spans="1:13" ht="15" x14ac:dyDescent="0.25">
      <c r="A1259" t="s">
        <v>367</v>
      </c>
      <c r="B1259" t="s">
        <v>11</v>
      </c>
      <c r="C1259" t="s">
        <v>12</v>
      </c>
      <c r="D1259" t="s">
        <v>13</v>
      </c>
      <c r="E1259" t="s">
        <v>14</v>
      </c>
      <c r="F1259" t="s">
        <v>368</v>
      </c>
      <c r="G1259" t="s">
        <v>368</v>
      </c>
      <c r="H1259"/>
      <c r="I1259"/>
      <c r="J1259"/>
      <c r="K1259" t="s">
        <v>4529</v>
      </c>
      <c r="L1259">
        <v>444212</v>
      </c>
      <c r="M1259" t="s">
        <v>770</v>
      </c>
    </row>
    <row r="1260" spans="1:13" ht="15" x14ac:dyDescent="0.25">
      <c r="A1260" t="s">
        <v>1676</v>
      </c>
      <c r="B1260" t="s">
        <v>11</v>
      </c>
      <c r="C1260" t="s">
        <v>12</v>
      </c>
      <c r="D1260" t="s">
        <v>111</v>
      </c>
      <c r="E1260" t="s">
        <v>120</v>
      </c>
      <c r="F1260" t="s">
        <v>1226</v>
      </c>
      <c r="G1260" t="s">
        <v>1227</v>
      </c>
      <c r="H1260"/>
      <c r="I1260"/>
      <c r="J1260"/>
      <c r="K1260" t="s">
        <v>4530</v>
      </c>
      <c r="L1260">
        <v>5281614</v>
      </c>
      <c r="M1260" t="s">
        <v>2035</v>
      </c>
    </row>
    <row r="1261" spans="1:13" ht="15" x14ac:dyDescent="0.25">
      <c r="A1261" t="s">
        <v>2247</v>
      </c>
      <c r="B1261" t="s">
        <v>11</v>
      </c>
      <c r="C1261" t="s">
        <v>12</v>
      </c>
      <c r="D1261" t="s">
        <v>24</v>
      </c>
      <c r="E1261" t="s">
        <v>54</v>
      </c>
      <c r="F1261" t="s">
        <v>2248</v>
      </c>
      <c r="G1261" t="s">
        <v>2249</v>
      </c>
      <c r="H1261" t="s">
        <v>2250</v>
      </c>
      <c r="I1261"/>
      <c r="J1261"/>
      <c r="K1261" t="s">
        <v>4531</v>
      </c>
      <c r="L1261">
        <v>667450</v>
      </c>
      <c r="M1261" t="s">
        <v>3139</v>
      </c>
    </row>
    <row r="1262" spans="1:13" ht="15" x14ac:dyDescent="0.25">
      <c r="A1262" t="s">
        <v>1998</v>
      </c>
      <c r="B1262" t="s">
        <v>11</v>
      </c>
      <c r="C1262" t="s">
        <v>12</v>
      </c>
      <c r="D1262" t="s">
        <v>24</v>
      </c>
      <c r="E1262" t="s">
        <v>54</v>
      </c>
      <c r="F1262" t="s">
        <v>420</v>
      </c>
      <c r="G1262" t="s">
        <v>714</v>
      </c>
      <c r="H1262"/>
      <c r="I1262"/>
      <c r="J1262"/>
      <c r="K1262" t="s">
        <v>4532</v>
      </c>
      <c r="L1262">
        <v>5280435</v>
      </c>
      <c r="M1262" t="s">
        <v>2140</v>
      </c>
    </row>
    <row r="1263" spans="1:13" ht="15" x14ac:dyDescent="0.25">
      <c r="A1263" t="s">
        <v>2149</v>
      </c>
      <c r="B1263" t="s">
        <v>11</v>
      </c>
      <c r="C1263" t="s">
        <v>12</v>
      </c>
      <c r="D1263" t="s">
        <v>24</v>
      </c>
      <c r="E1263" t="s">
        <v>54</v>
      </c>
      <c r="F1263" t="s">
        <v>420</v>
      </c>
      <c r="G1263" t="s">
        <v>714</v>
      </c>
      <c r="H1263"/>
      <c r="I1263"/>
      <c r="J1263"/>
      <c r="K1263" t="s">
        <v>4533</v>
      </c>
      <c r="L1263">
        <v>5366244</v>
      </c>
      <c r="M1263" t="s">
        <v>2140</v>
      </c>
    </row>
    <row r="1264" spans="1:13" ht="15" x14ac:dyDescent="0.25">
      <c r="A1264" t="s">
        <v>1982</v>
      </c>
      <c r="B1264" t="s">
        <v>11</v>
      </c>
      <c r="C1264" t="s">
        <v>12</v>
      </c>
      <c r="D1264" t="s">
        <v>24</v>
      </c>
      <c r="E1264" t="s">
        <v>54</v>
      </c>
      <c r="F1264" t="s">
        <v>420</v>
      </c>
      <c r="G1264" t="s">
        <v>714</v>
      </c>
      <c r="H1264"/>
      <c r="I1264"/>
      <c r="J1264"/>
      <c r="K1264" t="s">
        <v>4534</v>
      </c>
      <c r="L1264">
        <v>145386</v>
      </c>
      <c r="M1264" t="s">
        <v>2140</v>
      </c>
    </row>
    <row r="1265" spans="1:13" ht="15" x14ac:dyDescent="0.25">
      <c r="A1265" t="s">
        <v>1983</v>
      </c>
      <c r="B1265" t="s">
        <v>11</v>
      </c>
      <c r="C1265" t="s">
        <v>12</v>
      </c>
      <c r="D1265" t="s">
        <v>24</v>
      </c>
      <c r="E1265" t="s">
        <v>54</v>
      </c>
      <c r="F1265" t="s">
        <v>420</v>
      </c>
      <c r="G1265" t="s">
        <v>714</v>
      </c>
      <c r="H1265"/>
      <c r="I1265"/>
      <c r="J1265"/>
      <c r="K1265" t="s">
        <v>4535</v>
      </c>
      <c r="L1265">
        <v>5320547</v>
      </c>
      <c r="M1265" t="s">
        <v>2140</v>
      </c>
    </row>
    <row r="1266" spans="1:13" ht="15" x14ac:dyDescent="0.25">
      <c r="A1266" t="s">
        <v>2447</v>
      </c>
      <c r="B1266" t="s">
        <v>11</v>
      </c>
      <c r="C1266" t="s">
        <v>12</v>
      </c>
      <c r="D1266" t="s">
        <v>24</v>
      </c>
      <c r="E1266" t="s">
        <v>54</v>
      </c>
      <c r="F1266" t="s">
        <v>420</v>
      </c>
      <c r="G1266" t="s">
        <v>714</v>
      </c>
      <c r="H1266"/>
      <c r="I1266"/>
      <c r="J1266"/>
      <c r="K1266" t="s">
        <v>4536</v>
      </c>
      <c r="L1266">
        <v>9018</v>
      </c>
      <c r="M1266" t="s">
        <v>2140</v>
      </c>
    </row>
    <row r="1267" spans="1:13" ht="15" x14ac:dyDescent="0.25">
      <c r="A1267" t="s">
        <v>128</v>
      </c>
      <c r="B1267" t="s">
        <v>11</v>
      </c>
      <c r="C1267" t="s">
        <v>12</v>
      </c>
      <c r="D1267" t="s">
        <v>24</v>
      </c>
      <c r="E1267" t="s">
        <v>54</v>
      </c>
      <c r="F1267" t="s">
        <v>60</v>
      </c>
      <c r="G1267" t="s">
        <v>60</v>
      </c>
      <c r="H1267"/>
      <c r="I1267"/>
      <c r="J1267"/>
      <c r="K1267" t="s">
        <v>4537</v>
      </c>
      <c r="L1267">
        <v>10398656</v>
      </c>
      <c r="M1267" t="s">
        <v>3140</v>
      </c>
    </row>
    <row r="1268" spans="1:13" ht="15" x14ac:dyDescent="0.25">
      <c r="A1268" t="s">
        <v>1386</v>
      </c>
      <c r="B1268" t="s">
        <v>11</v>
      </c>
      <c r="C1268" t="s">
        <v>12</v>
      </c>
      <c r="D1268" t="s">
        <v>101</v>
      </c>
      <c r="E1268" t="s">
        <v>1157</v>
      </c>
      <c r="F1268" t="s">
        <v>1387</v>
      </c>
      <c r="G1268" t="s">
        <v>1387</v>
      </c>
      <c r="H1268"/>
      <c r="I1268"/>
      <c r="J1268"/>
      <c r="K1268" t="s">
        <v>4538</v>
      </c>
      <c r="L1268">
        <v>118901</v>
      </c>
      <c r="M1268" t="s">
        <v>1540</v>
      </c>
    </row>
    <row r="1269" spans="1:13" ht="15" x14ac:dyDescent="0.25">
      <c r="A1269" t="s">
        <v>1418</v>
      </c>
      <c r="B1269" t="s">
        <v>11</v>
      </c>
      <c r="C1269" t="s">
        <v>12</v>
      </c>
      <c r="D1269" t="s">
        <v>24</v>
      </c>
      <c r="E1269" t="s">
        <v>94</v>
      </c>
      <c r="F1269" t="s">
        <v>1199</v>
      </c>
      <c r="G1269" t="s">
        <v>1199</v>
      </c>
      <c r="H1269"/>
      <c r="I1269"/>
      <c r="J1269"/>
      <c r="K1269" t="s">
        <v>4539</v>
      </c>
      <c r="L1269">
        <v>134694294</v>
      </c>
      <c r="M1269" t="s">
        <v>3141</v>
      </c>
    </row>
    <row r="1270" spans="1:13" ht="15" x14ac:dyDescent="0.25">
      <c r="A1270" t="s">
        <v>1633</v>
      </c>
      <c r="B1270" t="s">
        <v>11</v>
      </c>
      <c r="C1270" t="s">
        <v>12</v>
      </c>
      <c r="D1270" t="s">
        <v>111</v>
      </c>
      <c r="E1270" t="s">
        <v>120</v>
      </c>
      <c r="F1270" t="s">
        <v>1592</v>
      </c>
      <c r="G1270" t="s">
        <v>1598</v>
      </c>
      <c r="H1270"/>
      <c r="I1270"/>
      <c r="J1270"/>
      <c r="K1270" t="s">
        <v>4540</v>
      </c>
      <c r="L1270">
        <v>5318869</v>
      </c>
      <c r="M1270" t="s">
        <v>2018</v>
      </c>
    </row>
    <row r="1271" spans="1:13" ht="15" x14ac:dyDescent="0.25">
      <c r="A1271" t="s">
        <v>1225</v>
      </c>
      <c r="B1271" t="s">
        <v>11</v>
      </c>
      <c r="C1271" t="s">
        <v>12</v>
      </c>
      <c r="D1271" t="s">
        <v>111</v>
      </c>
      <c r="E1271" t="s">
        <v>120</v>
      </c>
      <c r="F1271" t="s">
        <v>1226</v>
      </c>
      <c r="G1271" t="s">
        <v>1227</v>
      </c>
      <c r="H1271"/>
      <c r="I1271"/>
      <c r="J1271"/>
      <c r="K1271" t="s">
        <v>4541</v>
      </c>
      <c r="L1271">
        <v>70153833</v>
      </c>
      <c r="M1271" t="s">
        <v>1250</v>
      </c>
    </row>
    <row r="1272" spans="1:13" ht="15" x14ac:dyDescent="0.25">
      <c r="A1272" t="s">
        <v>1229</v>
      </c>
      <c r="B1272" t="s">
        <v>11</v>
      </c>
      <c r="C1272" t="s">
        <v>12</v>
      </c>
      <c r="D1272" t="s">
        <v>111</v>
      </c>
      <c r="E1272" t="s">
        <v>120</v>
      </c>
      <c r="F1272" t="s">
        <v>121</v>
      </c>
      <c r="G1272" t="s">
        <v>121</v>
      </c>
      <c r="H1272"/>
      <c r="I1272"/>
      <c r="J1272"/>
      <c r="K1272" t="s">
        <v>4542</v>
      </c>
      <c r="L1272">
        <v>23115164</v>
      </c>
      <c r="M1272" t="s">
        <v>1251</v>
      </c>
    </row>
    <row r="1273" spans="1:13" ht="15" x14ac:dyDescent="0.25">
      <c r="A1273" t="s">
        <v>631</v>
      </c>
      <c r="B1273" t="s">
        <v>11</v>
      </c>
      <c r="C1273" t="s">
        <v>12</v>
      </c>
      <c r="D1273" t="s">
        <v>24</v>
      </c>
      <c r="E1273" t="s">
        <v>25</v>
      </c>
      <c r="F1273" t="s">
        <v>388</v>
      </c>
      <c r="G1273" t="s">
        <v>389</v>
      </c>
      <c r="H1273"/>
      <c r="I1273"/>
      <c r="J1273"/>
      <c r="K1273" t="s">
        <v>4543</v>
      </c>
      <c r="L1273">
        <v>5312759</v>
      </c>
      <c r="M1273" t="s">
        <v>3142</v>
      </c>
    </row>
    <row r="1274" spans="1:13" ht="15" x14ac:dyDescent="0.25">
      <c r="A1274" t="s">
        <v>1586</v>
      </c>
      <c r="B1274" t="s">
        <v>11</v>
      </c>
      <c r="C1274" t="s">
        <v>12</v>
      </c>
      <c r="D1274" t="s">
        <v>111</v>
      </c>
      <c r="E1274" t="s">
        <v>304</v>
      </c>
      <c r="F1274" t="s">
        <v>668</v>
      </c>
      <c r="G1274" t="s">
        <v>668</v>
      </c>
      <c r="H1274"/>
      <c r="I1274"/>
      <c r="J1274"/>
      <c r="K1274" t="s">
        <v>4544</v>
      </c>
      <c r="L1274">
        <v>734009</v>
      </c>
      <c r="M1274" t="s">
        <v>2002</v>
      </c>
    </row>
    <row r="1275" spans="1:13" ht="15" x14ac:dyDescent="0.25">
      <c r="A1275" t="s">
        <v>1885</v>
      </c>
      <c r="B1275" t="s">
        <v>11</v>
      </c>
      <c r="C1275" t="s">
        <v>12</v>
      </c>
      <c r="D1275" t="s">
        <v>36</v>
      </c>
      <c r="E1275" t="s">
        <v>37</v>
      </c>
      <c r="F1275" t="s">
        <v>77</v>
      </c>
      <c r="G1275" t="s">
        <v>78</v>
      </c>
      <c r="H1275"/>
      <c r="I1275"/>
      <c r="J1275"/>
      <c r="K1275" t="s">
        <v>4545</v>
      </c>
      <c r="L1275">
        <v>76617</v>
      </c>
      <c r="M1275" t="s">
        <v>3143</v>
      </c>
    </row>
    <row r="1276" spans="1:13" ht="15" x14ac:dyDescent="0.25">
      <c r="A1276" t="s">
        <v>2263</v>
      </c>
      <c r="B1276" t="s">
        <v>11</v>
      </c>
      <c r="C1276" t="s">
        <v>12</v>
      </c>
      <c r="D1276" t="s">
        <v>24</v>
      </c>
      <c r="E1276" t="s">
        <v>94</v>
      </c>
      <c r="F1276" t="s">
        <v>1199</v>
      </c>
      <c r="G1276" t="s">
        <v>1199</v>
      </c>
      <c r="H1276"/>
      <c r="I1276"/>
      <c r="J1276"/>
      <c r="K1276" t="s">
        <v>4546</v>
      </c>
      <c r="L1276">
        <v>131751911</v>
      </c>
      <c r="M1276" t="s">
        <v>3144</v>
      </c>
    </row>
    <row r="1277" spans="1:13" ht="15" x14ac:dyDescent="0.25">
      <c r="A1277" t="s">
        <v>547</v>
      </c>
      <c r="B1277" t="s">
        <v>11</v>
      </c>
      <c r="C1277" t="s">
        <v>12</v>
      </c>
      <c r="D1277" t="s">
        <v>24</v>
      </c>
      <c r="E1277" t="s">
        <v>25</v>
      </c>
      <c r="F1277" t="s">
        <v>504</v>
      </c>
      <c r="G1277" t="s">
        <v>504</v>
      </c>
      <c r="H1277"/>
      <c r="I1277"/>
      <c r="J1277"/>
      <c r="K1277" t="s">
        <v>4547</v>
      </c>
      <c r="L1277">
        <v>3931</v>
      </c>
      <c r="M1277" t="s">
        <v>816</v>
      </c>
    </row>
    <row r="1278" spans="1:13" ht="15" x14ac:dyDescent="0.25">
      <c r="A1278" t="s">
        <v>554</v>
      </c>
      <c r="B1278" t="s">
        <v>11</v>
      </c>
      <c r="C1278" t="s">
        <v>12</v>
      </c>
      <c r="D1278" t="s">
        <v>24</v>
      </c>
      <c r="E1278" t="s">
        <v>25</v>
      </c>
      <c r="F1278" t="s">
        <v>504</v>
      </c>
      <c r="G1278" t="s">
        <v>504</v>
      </c>
      <c r="H1278"/>
      <c r="I1278"/>
      <c r="J1278"/>
      <c r="K1278" t="s">
        <v>4548</v>
      </c>
      <c r="L1278">
        <v>5282797</v>
      </c>
      <c r="M1278" t="s">
        <v>816</v>
      </c>
    </row>
    <row r="1279" spans="1:13" ht="15" x14ac:dyDescent="0.25">
      <c r="A1279" t="s">
        <v>27</v>
      </c>
      <c r="B1279" t="s">
        <v>11</v>
      </c>
      <c r="C1279" t="s">
        <v>12</v>
      </c>
      <c r="D1279" t="s">
        <v>24</v>
      </c>
      <c r="E1279" t="s">
        <v>25</v>
      </c>
      <c r="F1279" t="s">
        <v>26</v>
      </c>
      <c r="G1279" t="s">
        <v>26</v>
      </c>
      <c r="H1279"/>
      <c r="I1279"/>
      <c r="J1279"/>
      <c r="K1279" t="s">
        <v>4549</v>
      </c>
      <c r="L1279">
        <v>5318042</v>
      </c>
      <c r="M1279" t="s">
        <v>3145</v>
      </c>
    </row>
    <row r="1280" spans="1:13" ht="15" x14ac:dyDescent="0.25">
      <c r="A1280" t="s">
        <v>74</v>
      </c>
      <c r="B1280" t="s">
        <v>11</v>
      </c>
      <c r="C1280" t="s">
        <v>12</v>
      </c>
      <c r="D1280" t="s">
        <v>24</v>
      </c>
      <c r="E1280" t="s">
        <v>25</v>
      </c>
      <c r="F1280" t="s">
        <v>26</v>
      </c>
      <c r="G1280" t="s">
        <v>26</v>
      </c>
      <c r="H1280"/>
      <c r="I1280"/>
      <c r="J1280"/>
      <c r="K1280" t="s">
        <v>4550</v>
      </c>
      <c r="L1280">
        <v>957</v>
      </c>
      <c r="M1280" t="s">
        <v>3146</v>
      </c>
    </row>
    <row r="1281" spans="1:13" ht="15" x14ac:dyDescent="0.25">
      <c r="A1281" t="s">
        <v>227</v>
      </c>
      <c r="B1281" t="s">
        <v>11</v>
      </c>
      <c r="C1281" t="s">
        <v>12</v>
      </c>
      <c r="D1281" t="s">
        <v>228</v>
      </c>
      <c r="E1281" t="s">
        <v>229</v>
      </c>
      <c r="F1281" t="s">
        <v>230</v>
      </c>
      <c r="G1281" t="s">
        <v>231</v>
      </c>
      <c r="H1281"/>
      <c r="I1281"/>
      <c r="J1281"/>
      <c r="K1281" t="s">
        <v>4551</v>
      </c>
      <c r="L1281">
        <v>10907</v>
      </c>
      <c r="M1281" t="s">
        <v>3147</v>
      </c>
    </row>
    <row r="1282" spans="1:13" ht="15" x14ac:dyDescent="0.25">
      <c r="A1282" t="s">
        <v>993</v>
      </c>
      <c r="B1282" t="s">
        <v>11</v>
      </c>
      <c r="C1282" t="s">
        <v>12</v>
      </c>
      <c r="D1282" t="s">
        <v>228</v>
      </c>
      <c r="E1282" t="s">
        <v>229</v>
      </c>
      <c r="F1282" t="s">
        <v>230</v>
      </c>
      <c r="G1282" t="s">
        <v>230</v>
      </c>
      <c r="H1282"/>
      <c r="I1282"/>
      <c r="J1282"/>
      <c r="K1282" t="s">
        <v>4552</v>
      </c>
      <c r="L1282">
        <v>14257</v>
      </c>
      <c r="M1282" t="s">
        <v>3148</v>
      </c>
    </row>
    <row r="1283" spans="1:13" ht="15" x14ac:dyDescent="0.25">
      <c r="A1283" t="s">
        <v>994</v>
      </c>
      <c r="B1283" t="s">
        <v>11</v>
      </c>
      <c r="C1283" t="s">
        <v>12</v>
      </c>
      <c r="D1283" t="s">
        <v>228</v>
      </c>
      <c r="E1283" t="s">
        <v>229</v>
      </c>
      <c r="F1283" t="s">
        <v>230</v>
      </c>
      <c r="G1283" t="s">
        <v>230</v>
      </c>
      <c r="H1283"/>
      <c r="I1283"/>
      <c r="J1283"/>
      <c r="K1283" t="s">
        <v>4553</v>
      </c>
      <c r="L1283">
        <v>15600</v>
      </c>
      <c r="M1283" t="s">
        <v>3149</v>
      </c>
    </row>
    <row r="1284" spans="1:13" ht="15" x14ac:dyDescent="0.25">
      <c r="A1284" t="s">
        <v>1046</v>
      </c>
      <c r="B1284" t="s">
        <v>11</v>
      </c>
      <c r="C1284" t="s">
        <v>12</v>
      </c>
      <c r="D1284" t="s">
        <v>36</v>
      </c>
      <c r="E1284" t="s">
        <v>44</v>
      </c>
      <c r="F1284"/>
      <c r="G1284" t="s">
        <v>44</v>
      </c>
      <c r="H1284"/>
      <c r="I1284"/>
      <c r="J1284"/>
      <c r="K1284" t="s">
        <v>4554</v>
      </c>
      <c r="L1284">
        <v>13879</v>
      </c>
      <c r="M1284" t="s">
        <v>3150</v>
      </c>
    </row>
    <row r="1285" spans="1:13" ht="15" x14ac:dyDescent="0.25">
      <c r="A1285" t="s">
        <v>1400</v>
      </c>
      <c r="B1285" t="s">
        <v>11</v>
      </c>
      <c r="C1285" t="s">
        <v>12</v>
      </c>
      <c r="D1285" t="s">
        <v>36</v>
      </c>
      <c r="E1285" t="s">
        <v>1401</v>
      </c>
      <c r="F1285"/>
      <c r="G1285" t="s">
        <v>1401</v>
      </c>
      <c r="H1285"/>
      <c r="I1285"/>
      <c r="J1285"/>
      <c r="K1285" t="s">
        <v>4555</v>
      </c>
      <c r="L1285">
        <v>75581</v>
      </c>
      <c r="M1285" t="s">
        <v>3151</v>
      </c>
    </row>
    <row r="1286" spans="1:13" ht="15" x14ac:dyDescent="0.25">
      <c r="A1286" t="s">
        <v>96</v>
      </c>
      <c r="B1286" t="s">
        <v>11</v>
      </c>
      <c r="C1286" t="s">
        <v>12</v>
      </c>
      <c r="D1286" t="s">
        <v>24</v>
      </c>
      <c r="E1286" t="s">
        <v>54</v>
      </c>
      <c r="F1286" t="s">
        <v>55</v>
      </c>
      <c r="G1286" t="s">
        <v>97</v>
      </c>
      <c r="H1286"/>
      <c r="I1286"/>
      <c r="J1286"/>
      <c r="K1286" t="s">
        <v>4556</v>
      </c>
      <c r="L1286">
        <v>45056</v>
      </c>
      <c r="M1286" t="s">
        <v>3152</v>
      </c>
    </row>
    <row r="1287" spans="1:13" ht="15" x14ac:dyDescent="0.25">
      <c r="A1287" t="s">
        <v>130</v>
      </c>
      <c r="B1287" t="s">
        <v>11</v>
      </c>
      <c r="C1287" t="s">
        <v>12</v>
      </c>
      <c r="D1287" t="s">
        <v>24</v>
      </c>
      <c r="E1287" t="s">
        <v>54</v>
      </c>
      <c r="F1287" t="s">
        <v>55</v>
      </c>
      <c r="G1287" t="s">
        <v>97</v>
      </c>
      <c r="H1287"/>
      <c r="I1287"/>
      <c r="J1287"/>
      <c r="K1287" t="s">
        <v>4557</v>
      </c>
      <c r="L1287">
        <v>1254</v>
      </c>
      <c r="M1287" t="s">
        <v>732</v>
      </c>
    </row>
    <row r="1288" spans="1:13" ht="15" x14ac:dyDescent="0.25">
      <c r="A1288" t="s">
        <v>100</v>
      </c>
      <c r="B1288" t="s">
        <v>11</v>
      </c>
      <c r="C1288" t="s">
        <v>12</v>
      </c>
      <c r="D1288" t="s">
        <v>101</v>
      </c>
      <c r="E1288" t="s">
        <v>102</v>
      </c>
      <c r="F1288"/>
      <c r="G1288" t="s">
        <v>102</v>
      </c>
      <c r="H1288"/>
      <c r="I1288"/>
      <c r="J1288"/>
      <c r="K1288" t="s">
        <v>4558</v>
      </c>
      <c r="L1288">
        <v>7361</v>
      </c>
      <c r="M1288" t="s">
        <v>3153</v>
      </c>
    </row>
    <row r="1289" spans="1:13" ht="15" x14ac:dyDescent="0.25">
      <c r="A1289" t="s">
        <v>1380</v>
      </c>
      <c r="B1289" t="s">
        <v>11</v>
      </c>
      <c r="C1289" t="s">
        <v>12</v>
      </c>
      <c r="D1289" t="s">
        <v>29</v>
      </c>
      <c r="E1289" t="s">
        <v>30</v>
      </c>
      <c r="F1289" t="s">
        <v>105</v>
      </c>
      <c r="G1289" t="s">
        <v>106</v>
      </c>
      <c r="H1289" t="s">
        <v>1020</v>
      </c>
      <c r="I1289"/>
      <c r="J1289"/>
      <c r="K1289" t="s">
        <v>4559</v>
      </c>
      <c r="L1289">
        <v>566657</v>
      </c>
      <c r="M1289" t="s">
        <v>3154</v>
      </c>
    </row>
    <row r="1290" spans="1:13" ht="15" x14ac:dyDescent="0.25">
      <c r="A1290" t="s">
        <v>2448</v>
      </c>
      <c r="B1290" t="s">
        <v>11</v>
      </c>
      <c r="C1290" t="s">
        <v>12</v>
      </c>
      <c r="D1290" t="s">
        <v>111</v>
      </c>
      <c r="E1290" t="s">
        <v>304</v>
      </c>
      <c r="F1290" t="s">
        <v>305</v>
      </c>
      <c r="G1290" t="s">
        <v>306</v>
      </c>
      <c r="H1290"/>
      <c r="I1290"/>
      <c r="J1290"/>
      <c r="K1290" t="s">
        <v>4560</v>
      </c>
      <c r="L1290">
        <v>11968</v>
      </c>
      <c r="M1290" t="s">
        <v>3155</v>
      </c>
    </row>
    <row r="1291" spans="1:13" ht="15" x14ac:dyDescent="0.25">
      <c r="A1291" t="s">
        <v>326</v>
      </c>
      <c r="B1291" t="s">
        <v>11</v>
      </c>
      <c r="C1291" t="s">
        <v>12</v>
      </c>
      <c r="D1291" t="s">
        <v>111</v>
      </c>
      <c r="E1291" t="s">
        <v>167</v>
      </c>
      <c r="F1291"/>
      <c r="G1291" t="s">
        <v>167</v>
      </c>
      <c r="H1291"/>
      <c r="I1291"/>
      <c r="J1291"/>
      <c r="K1291" t="s">
        <v>4561</v>
      </c>
      <c r="L1291">
        <v>10228</v>
      </c>
      <c r="M1291" t="s">
        <v>763</v>
      </c>
    </row>
    <row r="1292" spans="1:13" ht="15" x14ac:dyDescent="0.25">
      <c r="A1292" t="s">
        <v>1619</v>
      </c>
      <c r="B1292" t="s">
        <v>11</v>
      </c>
      <c r="C1292" t="s">
        <v>12</v>
      </c>
      <c r="D1292" t="s">
        <v>111</v>
      </c>
      <c r="E1292" t="s">
        <v>120</v>
      </c>
      <c r="F1292" t="s">
        <v>1592</v>
      </c>
      <c r="G1292" t="s">
        <v>1620</v>
      </c>
      <c r="H1292"/>
      <c r="I1292"/>
      <c r="J1292"/>
      <c r="K1292" t="s">
        <v>4562</v>
      </c>
      <c r="L1292">
        <v>5352032</v>
      </c>
      <c r="M1292" t="s">
        <v>3156</v>
      </c>
    </row>
    <row r="1293" spans="1:13" ht="15" x14ac:dyDescent="0.25">
      <c r="A1293" t="s">
        <v>1643</v>
      </c>
      <c r="B1293" t="s">
        <v>11</v>
      </c>
      <c r="C1293" t="s">
        <v>12</v>
      </c>
      <c r="D1293" t="s">
        <v>111</v>
      </c>
      <c r="E1293" t="s">
        <v>120</v>
      </c>
      <c r="F1293" t="s">
        <v>1226</v>
      </c>
      <c r="G1293" t="s">
        <v>1227</v>
      </c>
      <c r="H1293"/>
      <c r="I1293"/>
      <c r="J1293"/>
      <c r="K1293" t="s">
        <v>4563</v>
      </c>
      <c r="L1293">
        <v>5377945</v>
      </c>
      <c r="M1293" t="s">
        <v>3157</v>
      </c>
    </row>
    <row r="1294" spans="1:13" ht="15" x14ac:dyDescent="0.25">
      <c r="A1294" t="s">
        <v>1642</v>
      </c>
      <c r="B1294" t="s">
        <v>11</v>
      </c>
      <c r="C1294" t="s">
        <v>12</v>
      </c>
      <c r="D1294" t="s">
        <v>111</v>
      </c>
      <c r="E1294" t="s">
        <v>120</v>
      </c>
      <c r="F1294" t="s">
        <v>1592</v>
      </c>
      <c r="G1294" t="s">
        <v>1620</v>
      </c>
      <c r="H1294"/>
      <c r="I1294"/>
      <c r="J1294"/>
      <c r="K1294" t="s">
        <v>4564</v>
      </c>
      <c r="L1294">
        <v>5281628</v>
      </c>
      <c r="M1294" t="s">
        <v>3158</v>
      </c>
    </row>
    <row r="1295" spans="1:13" ht="15" x14ac:dyDescent="0.25">
      <c r="A1295" t="s">
        <v>974</v>
      </c>
      <c r="B1295" t="s">
        <v>11</v>
      </c>
      <c r="C1295" t="s">
        <v>12</v>
      </c>
      <c r="D1295" t="s">
        <v>24</v>
      </c>
      <c r="E1295" t="s">
        <v>54</v>
      </c>
      <c r="F1295" t="s">
        <v>60</v>
      </c>
      <c r="G1295" t="s">
        <v>60</v>
      </c>
      <c r="H1295"/>
      <c r="I1295"/>
      <c r="J1295"/>
      <c r="K1295" t="s">
        <v>4565</v>
      </c>
      <c r="L1295">
        <v>12308843</v>
      </c>
      <c r="M1295" t="s">
        <v>1117</v>
      </c>
    </row>
    <row r="1296" spans="1:13" ht="15" x14ac:dyDescent="0.25">
      <c r="A1296" t="s">
        <v>1806</v>
      </c>
      <c r="B1296" t="s">
        <v>11</v>
      </c>
      <c r="C1296" t="s">
        <v>12</v>
      </c>
      <c r="D1296" t="s">
        <v>29</v>
      </c>
      <c r="E1296" t="s">
        <v>30</v>
      </c>
      <c r="F1296" t="s">
        <v>105</v>
      </c>
      <c r="G1296" t="s">
        <v>114</v>
      </c>
      <c r="H1296" t="s">
        <v>115</v>
      </c>
      <c r="I1296" t="s">
        <v>1340</v>
      </c>
      <c r="J1296" t="s">
        <v>1341</v>
      </c>
      <c r="K1296" t="s">
        <v>4566</v>
      </c>
      <c r="L1296">
        <v>6998</v>
      </c>
      <c r="M1296" t="s">
        <v>2080</v>
      </c>
    </row>
    <row r="1297" spans="1:13" ht="15" x14ac:dyDescent="0.25">
      <c r="A1297" t="s">
        <v>906</v>
      </c>
      <c r="B1297" t="s">
        <v>11</v>
      </c>
      <c r="C1297" t="s">
        <v>12</v>
      </c>
      <c r="D1297" t="s">
        <v>36</v>
      </c>
      <c r="E1297" t="s">
        <v>44</v>
      </c>
      <c r="F1297" t="s">
        <v>318</v>
      </c>
      <c r="G1297" t="s">
        <v>318</v>
      </c>
      <c r="H1297"/>
      <c r="I1297"/>
      <c r="J1297"/>
      <c r="K1297" t="s">
        <v>4567</v>
      </c>
      <c r="L1297">
        <v>10812</v>
      </c>
      <c r="M1297" t="s">
        <v>3159</v>
      </c>
    </row>
    <row r="1298" spans="1:13" ht="15" x14ac:dyDescent="0.25">
      <c r="A1298" t="s">
        <v>1471</v>
      </c>
      <c r="B1298" t="s">
        <v>11</v>
      </c>
      <c r="C1298" t="s">
        <v>12</v>
      </c>
      <c r="D1298" t="s">
        <v>101</v>
      </c>
      <c r="E1298" t="s">
        <v>1427</v>
      </c>
      <c r="F1298"/>
      <c r="G1298" t="s">
        <v>1427</v>
      </c>
      <c r="H1298"/>
      <c r="I1298"/>
      <c r="J1298"/>
      <c r="K1298" t="s">
        <v>4568</v>
      </c>
      <c r="L1298">
        <v>6432254</v>
      </c>
      <c r="M1298" t="s">
        <v>3160</v>
      </c>
    </row>
    <row r="1299" spans="1:13" ht="15" x14ac:dyDescent="0.25">
      <c r="A1299" t="s">
        <v>1445</v>
      </c>
      <c r="B1299" t="s">
        <v>11</v>
      </c>
      <c r="C1299" t="s">
        <v>12</v>
      </c>
      <c r="D1299" t="s">
        <v>101</v>
      </c>
      <c r="E1299" t="s">
        <v>1427</v>
      </c>
      <c r="F1299"/>
      <c r="G1299" t="s">
        <v>1427</v>
      </c>
      <c r="H1299"/>
      <c r="I1299"/>
      <c r="J1299"/>
      <c r="K1299" t="s">
        <v>4569</v>
      </c>
      <c r="L1299">
        <v>22310</v>
      </c>
      <c r="M1299" t="s">
        <v>3161</v>
      </c>
    </row>
    <row r="1300" spans="1:13" ht="15" x14ac:dyDescent="0.25">
      <c r="A1300" t="s">
        <v>215</v>
      </c>
      <c r="B1300" t="s">
        <v>11</v>
      </c>
      <c r="C1300" t="s">
        <v>12</v>
      </c>
      <c r="D1300" t="s">
        <v>36</v>
      </c>
      <c r="E1300" t="s">
        <v>44</v>
      </c>
      <c r="F1300"/>
      <c r="G1300" t="s">
        <v>44</v>
      </c>
      <c r="H1300"/>
      <c r="I1300"/>
      <c r="J1300"/>
      <c r="K1300" t="s">
        <v>4570</v>
      </c>
      <c r="L1300">
        <v>7707</v>
      </c>
      <c r="M1300" t="s">
        <v>3162</v>
      </c>
    </row>
    <row r="1301" spans="1:13" ht="15" x14ac:dyDescent="0.25">
      <c r="A1301" t="s">
        <v>1487</v>
      </c>
      <c r="B1301" t="s">
        <v>11</v>
      </c>
      <c r="C1301" t="s">
        <v>12</v>
      </c>
      <c r="D1301" t="s">
        <v>36</v>
      </c>
      <c r="E1301" t="s">
        <v>44</v>
      </c>
      <c r="F1301" t="s">
        <v>370</v>
      </c>
      <c r="G1301" t="s">
        <v>391</v>
      </c>
      <c r="H1301" t="s">
        <v>392</v>
      </c>
      <c r="I1301"/>
      <c r="J1301"/>
      <c r="K1301" t="s">
        <v>4571</v>
      </c>
      <c r="L1301">
        <v>4133</v>
      </c>
      <c r="M1301" t="s">
        <v>1571</v>
      </c>
    </row>
    <row r="1302" spans="1:13" ht="15" x14ac:dyDescent="0.25">
      <c r="A1302" t="s">
        <v>192</v>
      </c>
      <c r="B1302" t="s">
        <v>11</v>
      </c>
      <c r="C1302" t="s">
        <v>12</v>
      </c>
      <c r="D1302" t="s">
        <v>111</v>
      </c>
      <c r="E1302" t="s">
        <v>193</v>
      </c>
      <c r="F1302"/>
      <c r="G1302" t="s">
        <v>193</v>
      </c>
      <c r="H1302"/>
      <c r="I1302"/>
      <c r="J1302"/>
      <c r="K1302" t="s">
        <v>4572</v>
      </c>
      <c r="L1302">
        <v>6428995</v>
      </c>
      <c r="M1302" t="s">
        <v>736</v>
      </c>
    </row>
    <row r="1303" spans="1:13" ht="15" x14ac:dyDescent="0.25">
      <c r="A1303" t="s">
        <v>450</v>
      </c>
      <c r="B1303" t="s">
        <v>11</v>
      </c>
      <c r="C1303" t="s">
        <v>12</v>
      </c>
      <c r="D1303" t="s">
        <v>36</v>
      </c>
      <c r="E1303" t="s">
        <v>44</v>
      </c>
      <c r="F1303" t="s">
        <v>370</v>
      </c>
      <c r="G1303" t="s">
        <v>391</v>
      </c>
      <c r="H1303"/>
      <c r="I1303"/>
      <c r="J1303"/>
      <c r="K1303" t="s">
        <v>4573</v>
      </c>
      <c r="L1303">
        <v>11406</v>
      </c>
      <c r="M1303" t="s">
        <v>794</v>
      </c>
    </row>
    <row r="1304" spans="1:13" ht="15" x14ac:dyDescent="0.25">
      <c r="A1304" t="s">
        <v>1035</v>
      </c>
      <c r="B1304" t="s">
        <v>11</v>
      </c>
      <c r="C1304" t="s">
        <v>12</v>
      </c>
      <c r="D1304" t="s">
        <v>29</v>
      </c>
      <c r="E1304" t="s">
        <v>30</v>
      </c>
      <c r="F1304" t="s">
        <v>105</v>
      </c>
      <c r="G1304" t="s">
        <v>106</v>
      </c>
      <c r="H1304" t="s">
        <v>107</v>
      </c>
      <c r="I1304" t="s">
        <v>108</v>
      </c>
      <c r="J1304" t="s">
        <v>109</v>
      </c>
      <c r="K1304" t="s">
        <v>4574</v>
      </c>
      <c r="L1304">
        <v>15068</v>
      </c>
      <c r="M1304" t="s">
        <v>3163</v>
      </c>
    </row>
    <row r="1305" spans="1:13" ht="15" x14ac:dyDescent="0.25">
      <c r="A1305" t="s">
        <v>1050</v>
      </c>
      <c r="B1305" t="s">
        <v>11</v>
      </c>
      <c r="C1305" t="s">
        <v>12</v>
      </c>
      <c r="D1305" t="s">
        <v>36</v>
      </c>
      <c r="E1305" t="s">
        <v>44</v>
      </c>
      <c r="F1305" t="s">
        <v>137</v>
      </c>
      <c r="G1305" t="s">
        <v>137</v>
      </c>
      <c r="H1305"/>
      <c r="I1305"/>
      <c r="J1305"/>
      <c r="K1305" t="s">
        <v>4575</v>
      </c>
      <c r="L1305">
        <v>84835</v>
      </c>
      <c r="M1305" t="s">
        <v>1142</v>
      </c>
    </row>
    <row r="1306" spans="1:13" ht="15" x14ac:dyDescent="0.25">
      <c r="A1306" t="s">
        <v>448</v>
      </c>
      <c r="B1306" t="s">
        <v>11</v>
      </c>
      <c r="C1306" t="s">
        <v>12</v>
      </c>
      <c r="D1306" t="s">
        <v>36</v>
      </c>
      <c r="E1306" t="s">
        <v>44</v>
      </c>
      <c r="F1306" t="s">
        <v>370</v>
      </c>
      <c r="G1306" t="s">
        <v>391</v>
      </c>
      <c r="H1306"/>
      <c r="I1306"/>
      <c r="J1306"/>
      <c r="K1306" t="s">
        <v>4576</v>
      </c>
      <c r="L1306">
        <v>521364</v>
      </c>
      <c r="M1306" t="s">
        <v>792</v>
      </c>
    </row>
    <row r="1307" spans="1:13" ht="15" x14ac:dyDescent="0.25">
      <c r="A1307" t="s">
        <v>955</v>
      </c>
      <c r="B1307" t="s">
        <v>11</v>
      </c>
      <c r="C1307" t="s">
        <v>12</v>
      </c>
      <c r="D1307" t="s">
        <v>24</v>
      </c>
      <c r="E1307" t="s">
        <v>54</v>
      </c>
      <c r="F1307" t="s">
        <v>60</v>
      </c>
      <c r="G1307" t="s">
        <v>919</v>
      </c>
      <c r="H1307"/>
      <c r="I1307"/>
      <c r="J1307"/>
      <c r="K1307" t="s">
        <v>4577</v>
      </c>
      <c r="L1307">
        <v>6427475</v>
      </c>
      <c r="M1307" t="s">
        <v>1116</v>
      </c>
    </row>
    <row r="1308" spans="1:13" ht="15" x14ac:dyDescent="0.25">
      <c r="A1308" t="s">
        <v>971</v>
      </c>
      <c r="B1308" t="s">
        <v>11</v>
      </c>
      <c r="C1308" t="s">
        <v>12</v>
      </c>
      <c r="D1308" t="s">
        <v>24</v>
      </c>
      <c r="E1308" t="s">
        <v>54</v>
      </c>
      <c r="F1308" t="s">
        <v>60</v>
      </c>
      <c r="G1308" t="s">
        <v>919</v>
      </c>
      <c r="H1308"/>
      <c r="I1308"/>
      <c r="J1308"/>
      <c r="K1308" t="s">
        <v>4578</v>
      </c>
      <c r="L1308">
        <v>14190790</v>
      </c>
      <c r="M1308" t="s">
        <v>1116</v>
      </c>
    </row>
    <row r="1309" spans="1:13" ht="15" x14ac:dyDescent="0.25">
      <c r="A1309" t="s">
        <v>2449</v>
      </c>
      <c r="B1309" t="s">
        <v>11</v>
      </c>
      <c r="C1309" t="s">
        <v>12</v>
      </c>
      <c r="D1309" t="s">
        <v>24</v>
      </c>
      <c r="E1309" t="s">
        <v>54</v>
      </c>
      <c r="F1309" t="s">
        <v>60</v>
      </c>
      <c r="G1309" t="s">
        <v>931</v>
      </c>
      <c r="H1309"/>
      <c r="I1309"/>
      <c r="J1309"/>
      <c r="K1309" t="s">
        <v>4579</v>
      </c>
      <c r="L1309">
        <v>91746556</v>
      </c>
      <c r="M1309" t="s">
        <v>3164</v>
      </c>
    </row>
    <row r="1310" spans="1:13" ht="15" x14ac:dyDescent="0.25">
      <c r="A1310" t="s">
        <v>2223</v>
      </c>
      <c r="B1310" t="s">
        <v>11</v>
      </c>
      <c r="C1310" t="s">
        <v>12</v>
      </c>
      <c r="D1310" t="s">
        <v>24</v>
      </c>
      <c r="E1310" t="s">
        <v>54</v>
      </c>
      <c r="F1310" t="s">
        <v>60</v>
      </c>
      <c r="G1310" t="s">
        <v>60</v>
      </c>
      <c r="H1310"/>
      <c r="I1310"/>
      <c r="J1310"/>
      <c r="K1310" t="s">
        <v>4580</v>
      </c>
      <c r="L1310">
        <v>6427091</v>
      </c>
      <c r="M1310" t="s">
        <v>2325</v>
      </c>
    </row>
    <row r="1311" spans="1:13" ht="15" x14ac:dyDescent="0.25">
      <c r="A1311" t="s">
        <v>1376</v>
      </c>
      <c r="B1311" t="s">
        <v>11</v>
      </c>
      <c r="C1311" t="s">
        <v>12</v>
      </c>
      <c r="D1311" t="s">
        <v>24</v>
      </c>
      <c r="E1311" t="s">
        <v>54</v>
      </c>
      <c r="F1311" t="s">
        <v>60</v>
      </c>
      <c r="G1311" t="s">
        <v>127</v>
      </c>
      <c r="H1311"/>
      <c r="I1311"/>
      <c r="J1311"/>
      <c r="K1311" t="s">
        <v>4581</v>
      </c>
      <c r="L1311">
        <v>11877394</v>
      </c>
      <c r="M1311" t="s">
        <v>1536</v>
      </c>
    </row>
    <row r="1312" spans="1:13" ht="15" x14ac:dyDescent="0.25">
      <c r="A1312" t="s">
        <v>2450</v>
      </c>
      <c r="B1312" t="s">
        <v>11</v>
      </c>
      <c r="C1312" t="s">
        <v>12</v>
      </c>
      <c r="D1312" t="s">
        <v>24</v>
      </c>
      <c r="E1312" t="s">
        <v>54</v>
      </c>
      <c r="F1312" t="s">
        <v>60</v>
      </c>
      <c r="G1312" t="s">
        <v>127</v>
      </c>
      <c r="H1312"/>
      <c r="I1312"/>
      <c r="J1312"/>
      <c r="K1312" t="s">
        <v>4582</v>
      </c>
      <c r="L1312">
        <v>527217</v>
      </c>
      <c r="M1312" t="s">
        <v>1536</v>
      </c>
    </row>
    <row r="1313" spans="1:13" ht="15" x14ac:dyDescent="0.25">
      <c r="A1313" t="s">
        <v>2236</v>
      </c>
      <c r="B1313" t="s">
        <v>11</v>
      </c>
      <c r="C1313" t="s">
        <v>12</v>
      </c>
      <c r="D1313" t="s">
        <v>24</v>
      </c>
      <c r="E1313" t="s">
        <v>54</v>
      </c>
      <c r="F1313" t="s">
        <v>60</v>
      </c>
      <c r="G1313" t="s">
        <v>60</v>
      </c>
      <c r="H1313"/>
      <c r="I1313"/>
      <c r="J1313"/>
      <c r="K1313" t="s">
        <v>4583</v>
      </c>
      <c r="L1313">
        <v>12046149</v>
      </c>
      <c r="M1313" t="s">
        <v>3165</v>
      </c>
    </row>
    <row r="1314" spans="1:13" ht="15" x14ac:dyDescent="0.25">
      <c r="A1314" t="s">
        <v>1309</v>
      </c>
      <c r="B1314" t="s">
        <v>11</v>
      </c>
      <c r="C1314" t="s">
        <v>12</v>
      </c>
      <c r="D1314" t="s">
        <v>36</v>
      </c>
      <c r="E1314" t="s">
        <v>44</v>
      </c>
      <c r="F1314" t="s">
        <v>370</v>
      </c>
      <c r="G1314" t="s">
        <v>391</v>
      </c>
      <c r="H1314"/>
      <c r="I1314"/>
      <c r="J1314"/>
      <c r="K1314" t="s">
        <v>4584</v>
      </c>
      <c r="L1314">
        <v>103653</v>
      </c>
      <c r="M1314" t="s">
        <v>1518</v>
      </c>
    </row>
    <row r="1315" spans="1:13" ht="15" x14ac:dyDescent="0.25">
      <c r="A1315" t="s">
        <v>1414</v>
      </c>
      <c r="B1315" t="s">
        <v>11</v>
      </c>
      <c r="C1315" t="s">
        <v>12</v>
      </c>
      <c r="D1315" t="s">
        <v>24</v>
      </c>
      <c r="E1315" t="s">
        <v>54</v>
      </c>
      <c r="F1315" t="s">
        <v>60</v>
      </c>
      <c r="G1315" t="s">
        <v>60</v>
      </c>
      <c r="H1315"/>
      <c r="I1315"/>
      <c r="J1315"/>
      <c r="K1315" t="s">
        <v>4585</v>
      </c>
      <c r="L1315">
        <v>91752784</v>
      </c>
      <c r="M1315" t="s">
        <v>1550</v>
      </c>
    </row>
    <row r="1316" spans="1:13" ht="15" x14ac:dyDescent="0.25">
      <c r="A1316" t="s">
        <v>1316</v>
      </c>
      <c r="B1316" t="s">
        <v>11</v>
      </c>
      <c r="C1316" t="s">
        <v>12</v>
      </c>
      <c r="D1316" t="s">
        <v>24</v>
      </c>
      <c r="E1316" t="s">
        <v>54</v>
      </c>
      <c r="F1316" t="s">
        <v>60</v>
      </c>
      <c r="G1316" t="s">
        <v>60</v>
      </c>
      <c r="H1316"/>
      <c r="I1316"/>
      <c r="J1316"/>
      <c r="K1316" t="s">
        <v>4586</v>
      </c>
      <c r="L1316">
        <v>74819450</v>
      </c>
      <c r="M1316" t="s">
        <v>1550</v>
      </c>
    </row>
    <row r="1317" spans="1:13" ht="15" x14ac:dyDescent="0.25">
      <c r="A1317" t="s">
        <v>2228</v>
      </c>
      <c r="B1317" t="s">
        <v>11</v>
      </c>
      <c r="C1317" t="s">
        <v>12</v>
      </c>
      <c r="D1317" t="s">
        <v>24</v>
      </c>
      <c r="E1317" t="s">
        <v>54</v>
      </c>
      <c r="F1317" t="s">
        <v>60</v>
      </c>
      <c r="G1317" t="s">
        <v>60</v>
      </c>
      <c r="H1317"/>
      <c r="I1317"/>
      <c r="J1317"/>
      <c r="K1317" t="s">
        <v>4587</v>
      </c>
      <c r="L1317">
        <v>91753433</v>
      </c>
      <c r="M1317" t="s">
        <v>2328</v>
      </c>
    </row>
    <row r="1318" spans="1:13" ht="15" x14ac:dyDescent="0.25">
      <c r="A1318" t="s">
        <v>451</v>
      </c>
      <c r="B1318" t="s">
        <v>11</v>
      </c>
      <c r="C1318" t="s">
        <v>12</v>
      </c>
      <c r="D1318" t="s">
        <v>36</v>
      </c>
      <c r="E1318" t="s">
        <v>44</v>
      </c>
      <c r="F1318" t="s">
        <v>370</v>
      </c>
      <c r="G1318" t="s">
        <v>391</v>
      </c>
      <c r="H1318"/>
      <c r="I1318"/>
      <c r="J1318"/>
      <c r="K1318" t="s">
        <v>4588</v>
      </c>
      <c r="L1318">
        <v>7194</v>
      </c>
      <c r="M1318" t="s">
        <v>3166</v>
      </c>
    </row>
    <row r="1319" spans="1:13" ht="15" x14ac:dyDescent="0.25">
      <c r="A1319" t="s">
        <v>904</v>
      </c>
      <c r="B1319" t="s">
        <v>11</v>
      </c>
      <c r="C1319" t="s">
        <v>12</v>
      </c>
      <c r="D1319" t="s">
        <v>24</v>
      </c>
      <c r="E1319" t="s">
        <v>54</v>
      </c>
      <c r="F1319" t="s">
        <v>55</v>
      </c>
      <c r="G1319" t="s">
        <v>97</v>
      </c>
      <c r="H1319"/>
      <c r="I1319"/>
      <c r="J1319"/>
      <c r="K1319" t="s">
        <v>4589</v>
      </c>
      <c r="L1319">
        <v>443162</v>
      </c>
      <c r="M1319" t="s">
        <v>3167</v>
      </c>
    </row>
    <row r="1320" spans="1:13" ht="15" x14ac:dyDescent="0.25">
      <c r="A1320" t="s">
        <v>1916</v>
      </c>
      <c r="B1320" t="s">
        <v>11</v>
      </c>
      <c r="C1320" t="s">
        <v>12</v>
      </c>
      <c r="D1320" t="s">
        <v>24</v>
      </c>
      <c r="E1320" t="s">
        <v>54</v>
      </c>
      <c r="F1320" t="s">
        <v>60</v>
      </c>
      <c r="G1320" t="s">
        <v>60</v>
      </c>
      <c r="H1320"/>
      <c r="I1320"/>
      <c r="J1320"/>
      <c r="K1320" t="s">
        <v>4590</v>
      </c>
      <c r="L1320">
        <v>3083834</v>
      </c>
      <c r="M1320" t="s">
        <v>3168</v>
      </c>
    </row>
    <row r="1321" spans="1:13" ht="15" x14ac:dyDescent="0.25">
      <c r="A1321" t="s">
        <v>927</v>
      </c>
      <c r="B1321" t="s">
        <v>11</v>
      </c>
      <c r="C1321" t="s">
        <v>12</v>
      </c>
      <c r="D1321" t="s">
        <v>24</v>
      </c>
      <c r="E1321" t="s">
        <v>54</v>
      </c>
      <c r="F1321" t="s">
        <v>60</v>
      </c>
      <c r="G1321" t="s">
        <v>60</v>
      </c>
      <c r="H1321"/>
      <c r="I1321"/>
      <c r="J1321"/>
      <c r="K1321" t="s">
        <v>4591</v>
      </c>
      <c r="L1321">
        <v>442360</v>
      </c>
      <c r="M1321" t="s">
        <v>3168</v>
      </c>
    </row>
    <row r="1322" spans="1:13" ht="15" x14ac:dyDescent="0.25">
      <c r="A1322" t="s">
        <v>2212</v>
      </c>
      <c r="B1322" t="s">
        <v>11</v>
      </c>
      <c r="C1322" t="s">
        <v>12</v>
      </c>
      <c r="D1322" t="s">
        <v>24</v>
      </c>
      <c r="E1322" t="s">
        <v>54</v>
      </c>
      <c r="F1322" t="s">
        <v>60</v>
      </c>
      <c r="G1322" t="s">
        <v>60</v>
      </c>
      <c r="H1322"/>
      <c r="I1322"/>
      <c r="J1322"/>
      <c r="K1322" t="s">
        <v>4592</v>
      </c>
      <c r="L1322">
        <v>6432648</v>
      </c>
      <c r="M1322" t="s">
        <v>3169</v>
      </c>
    </row>
    <row r="1323" spans="1:13" ht="15" x14ac:dyDescent="0.25">
      <c r="A1323" t="s">
        <v>939</v>
      </c>
      <c r="B1323" t="s">
        <v>11</v>
      </c>
      <c r="C1323" t="s">
        <v>12</v>
      </c>
      <c r="D1323" t="s">
        <v>24</v>
      </c>
      <c r="E1323" t="s">
        <v>54</v>
      </c>
      <c r="F1323" t="s">
        <v>60</v>
      </c>
      <c r="G1323" t="s">
        <v>931</v>
      </c>
      <c r="H1323"/>
      <c r="I1323"/>
      <c r="J1323"/>
      <c r="K1323" t="s">
        <v>4593</v>
      </c>
      <c r="L1323">
        <v>5281519</v>
      </c>
      <c r="M1323" t="s">
        <v>1110</v>
      </c>
    </row>
    <row r="1324" spans="1:13" ht="15" x14ac:dyDescent="0.25">
      <c r="A1324" t="s">
        <v>2451</v>
      </c>
      <c r="B1324" t="s">
        <v>11</v>
      </c>
      <c r="C1324" t="s">
        <v>12</v>
      </c>
      <c r="D1324" t="s">
        <v>24</v>
      </c>
      <c r="E1324" t="s">
        <v>54</v>
      </c>
      <c r="F1324" t="s">
        <v>60</v>
      </c>
      <c r="G1324" t="s">
        <v>931</v>
      </c>
      <c r="H1324"/>
      <c r="I1324"/>
      <c r="J1324"/>
      <c r="K1324" t="s">
        <v>4594</v>
      </c>
      <c r="L1324">
        <v>6370843</v>
      </c>
      <c r="M1324" t="s">
        <v>1110</v>
      </c>
    </row>
    <row r="1325" spans="1:13" ht="15" x14ac:dyDescent="0.25">
      <c r="A1325" t="s">
        <v>2452</v>
      </c>
      <c r="B1325" t="s">
        <v>11</v>
      </c>
      <c r="C1325" t="s">
        <v>12</v>
      </c>
      <c r="D1325" t="s">
        <v>24</v>
      </c>
      <c r="E1325" t="s">
        <v>54</v>
      </c>
      <c r="F1325" t="s">
        <v>60</v>
      </c>
      <c r="G1325" t="s">
        <v>931</v>
      </c>
      <c r="H1325"/>
      <c r="I1325"/>
      <c r="J1325"/>
      <c r="K1325" t="s">
        <v>4595</v>
      </c>
      <c r="L1325">
        <v>5371080</v>
      </c>
      <c r="M1325" t="s">
        <v>1110</v>
      </c>
    </row>
    <row r="1326" spans="1:13" ht="15" x14ac:dyDescent="0.25">
      <c r="A1326" t="s">
        <v>2453</v>
      </c>
      <c r="B1326" t="s">
        <v>11</v>
      </c>
      <c r="C1326" t="s">
        <v>12</v>
      </c>
      <c r="D1326" t="s">
        <v>24</v>
      </c>
      <c r="E1326" t="s">
        <v>54</v>
      </c>
      <c r="F1326" t="s">
        <v>60</v>
      </c>
      <c r="G1326" t="s">
        <v>931</v>
      </c>
      <c r="H1326"/>
      <c r="I1326"/>
      <c r="J1326"/>
      <c r="K1326" t="s">
        <v>4596</v>
      </c>
      <c r="L1326">
        <v>177602</v>
      </c>
      <c r="M1326" t="s">
        <v>1110</v>
      </c>
    </row>
    <row r="1327" spans="1:13" ht="15" x14ac:dyDescent="0.25">
      <c r="A1327" t="s">
        <v>2454</v>
      </c>
      <c r="B1327" t="s">
        <v>11</v>
      </c>
      <c r="C1327" t="s">
        <v>12</v>
      </c>
      <c r="D1327" t="s">
        <v>24</v>
      </c>
      <c r="E1327" t="s">
        <v>54</v>
      </c>
      <c r="F1327" t="s">
        <v>60</v>
      </c>
      <c r="G1327" t="s">
        <v>933</v>
      </c>
      <c r="H1327" t="s">
        <v>934</v>
      </c>
      <c r="I1327"/>
      <c r="J1327"/>
      <c r="K1327" t="s">
        <v>4597</v>
      </c>
      <c r="L1327">
        <v>102303030</v>
      </c>
      <c r="M1327" t="s">
        <v>2324</v>
      </c>
    </row>
    <row r="1328" spans="1:13" ht="15" x14ac:dyDescent="0.25">
      <c r="A1328" t="s">
        <v>2218</v>
      </c>
      <c r="B1328" t="s">
        <v>11</v>
      </c>
      <c r="C1328" t="s">
        <v>12</v>
      </c>
      <c r="D1328" t="s">
        <v>24</v>
      </c>
      <c r="E1328" t="s">
        <v>54</v>
      </c>
      <c r="F1328" t="s">
        <v>60</v>
      </c>
      <c r="G1328" t="s">
        <v>933</v>
      </c>
      <c r="H1328" t="s">
        <v>934</v>
      </c>
      <c r="I1328"/>
      <c r="J1328"/>
      <c r="K1328" t="s">
        <v>4598</v>
      </c>
      <c r="L1328">
        <v>14038848</v>
      </c>
      <c r="M1328" t="s">
        <v>2324</v>
      </c>
    </row>
    <row r="1329" spans="1:13" ht="15" x14ac:dyDescent="0.25">
      <c r="A1329" t="s">
        <v>1843</v>
      </c>
      <c r="B1329" t="s">
        <v>11</v>
      </c>
      <c r="C1329" t="s">
        <v>12</v>
      </c>
      <c r="D1329" t="s">
        <v>111</v>
      </c>
      <c r="E1329" t="s">
        <v>304</v>
      </c>
      <c r="F1329" t="s">
        <v>305</v>
      </c>
      <c r="G1329" t="s">
        <v>382</v>
      </c>
      <c r="H1329"/>
      <c r="I1329"/>
      <c r="J1329"/>
      <c r="K1329" t="s">
        <v>4599</v>
      </c>
      <c r="L1329">
        <v>108042</v>
      </c>
      <c r="M1329" t="s">
        <v>3170</v>
      </c>
    </row>
    <row r="1330" spans="1:13" ht="15" x14ac:dyDescent="0.25">
      <c r="A1330" t="s">
        <v>196</v>
      </c>
      <c r="B1330" t="s">
        <v>11</v>
      </c>
      <c r="C1330" t="s">
        <v>12</v>
      </c>
      <c r="D1330" t="s">
        <v>29</v>
      </c>
      <c r="E1330" t="s">
        <v>30</v>
      </c>
      <c r="F1330" t="s">
        <v>105</v>
      </c>
      <c r="G1330" t="s">
        <v>158</v>
      </c>
      <c r="H1330" t="s">
        <v>159</v>
      </c>
      <c r="I1330" t="s">
        <v>160</v>
      </c>
      <c r="J1330"/>
      <c r="K1330" t="s">
        <v>4600</v>
      </c>
      <c r="L1330">
        <v>447466</v>
      </c>
      <c r="M1330" t="s">
        <v>3171</v>
      </c>
    </row>
    <row r="1331" spans="1:13" ht="15" x14ac:dyDescent="0.25">
      <c r="A1331" t="s">
        <v>2154</v>
      </c>
      <c r="B1331" t="s">
        <v>11</v>
      </c>
      <c r="C1331" t="s">
        <v>12</v>
      </c>
      <c r="D1331" t="s">
        <v>24</v>
      </c>
      <c r="E1331" t="s">
        <v>54</v>
      </c>
      <c r="F1331" t="s">
        <v>55</v>
      </c>
      <c r="G1331" t="s">
        <v>56</v>
      </c>
      <c r="H1331"/>
      <c r="I1331"/>
      <c r="J1331"/>
      <c r="K1331" t="s">
        <v>4601</v>
      </c>
      <c r="L1331">
        <v>18818</v>
      </c>
      <c r="M1331" t="s">
        <v>2302</v>
      </c>
    </row>
    <row r="1332" spans="1:13" ht="15" x14ac:dyDescent="0.25">
      <c r="A1332" t="s">
        <v>896</v>
      </c>
      <c r="B1332" t="s">
        <v>11</v>
      </c>
      <c r="C1332" t="s">
        <v>12</v>
      </c>
      <c r="D1332" t="s">
        <v>24</v>
      </c>
      <c r="E1332" t="s">
        <v>54</v>
      </c>
      <c r="F1332" t="s">
        <v>55</v>
      </c>
      <c r="G1332" t="s">
        <v>58</v>
      </c>
      <c r="H1332"/>
      <c r="I1332"/>
      <c r="J1332"/>
      <c r="K1332" t="s">
        <v>4602</v>
      </c>
      <c r="L1332">
        <v>31253</v>
      </c>
      <c r="M1332" t="s">
        <v>1102</v>
      </c>
    </row>
    <row r="1333" spans="1:13" ht="15" x14ac:dyDescent="0.25">
      <c r="A1333" t="s">
        <v>28</v>
      </c>
      <c r="B1333" t="s">
        <v>11</v>
      </c>
      <c r="C1333" t="s">
        <v>12</v>
      </c>
      <c r="D1333" t="s">
        <v>29</v>
      </c>
      <c r="E1333" t="s">
        <v>30</v>
      </c>
      <c r="F1333" t="s">
        <v>31</v>
      </c>
      <c r="G1333" t="s">
        <v>32</v>
      </c>
      <c r="H1333"/>
      <c r="I1333"/>
      <c r="J1333"/>
      <c r="K1333" t="s">
        <v>4603</v>
      </c>
      <c r="L1333">
        <v>6276</v>
      </c>
      <c r="M1333" t="s">
        <v>3172</v>
      </c>
    </row>
    <row r="1334" spans="1:13" ht="15" x14ac:dyDescent="0.25">
      <c r="A1334" t="s">
        <v>459</v>
      </c>
      <c r="B1334" t="s">
        <v>11</v>
      </c>
      <c r="C1334" t="s">
        <v>12</v>
      </c>
      <c r="D1334" t="s">
        <v>13</v>
      </c>
      <c r="E1334" t="s">
        <v>14</v>
      </c>
      <c r="F1334" t="s">
        <v>15</v>
      </c>
      <c r="G1334" t="s">
        <v>16</v>
      </c>
      <c r="H1334"/>
      <c r="I1334"/>
      <c r="J1334"/>
      <c r="K1334" t="s">
        <v>4604</v>
      </c>
      <c r="L1334">
        <v>14489</v>
      </c>
      <c r="M1334" t="s">
        <v>799</v>
      </c>
    </row>
    <row r="1335" spans="1:13" ht="15" x14ac:dyDescent="0.25">
      <c r="A1335" t="s">
        <v>178</v>
      </c>
      <c r="B1335" t="s">
        <v>11</v>
      </c>
      <c r="C1335" t="s">
        <v>12</v>
      </c>
      <c r="D1335" t="s">
        <v>101</v>
      </c>
      <c r="E1335" t="s">
        <v>102</v>
      </c>
      <c r="F1335"/>
      <c r="G1335" t="s">
        <v>102</v>
      </c>
      <c r="H1335"/>
      <c r="I1335"/>
      <c r="J1335"/>
      <c r="K1335" t="s">
        <v>4605</v>
      </c>
      <c r="L1335">
        <v>19602</v>
      </c>
      <c r="M1335" t="s">
        <v>3173</v>
      </c>
    </row>
    <row r="1336" spans="1:13" ht="15" x14ac:dyDescent="0.25">
      <c r="A1336" t="s">
        <v>620</v>
      </c>
      <c r="B1336" t="s">
        <v>11</v>
      </c>
      <c r="C1336" t="s">
        <v>12</v>
      </c>
      <c r="D1336" t="s">
        <v>29</v>
      </c>
      <c r="E1336" t="s">
        <v>30</v>
      </c>
      <c r="F1336" t="s">
        <v>31</v>
      </c>
      <c r="G1336" t="s">
        <v>90</v>
      </c>
      <c r="H1336"/>
      <c r="I1336"/>
      <c r="J1336"/>
      <c r="K1336" t="s">
        <v>4606</v>
      </c>
      <c r="L1336">
        <v>12247</v>
      </c>
      <c r="M1336" t="s">
        <v>841</v>
      </c>
    </row>
    <row r="1337" spans="1:13" ht="15" x14ac:dyDescent="0.25">
      <c r="A1337" t="s">
        <v>1308</v>
      </c>
      <c r="B1337" t="s">
        <v>11</v>
      </c>
      <c r="C1337" t="s">
        <v>12</v>
      </c>
      <c r="D1337" t="s">
        <v>24</v>
      </c>
      <c r="E1337" t="s">
        <v>25</v>
      </c>
      <c r="F1337" t="s">
        <v>26</v>
      </c>
      <c r="G1337" t="s">
        <v>26</v>
      </c>
      <c r="H1337"/>
      <c r="I1337"/>
      <c r="J1337"/>
      <c r="K1337" t="s">
        <v>4607</v>
      </c>
      <c r="L1337">
        <v>5318018</v>
      </c>
      <c r="M1337" t="s">
        <v>1517</v>
      </c>
    </row>
    <row r="1338" spans="1:13" ht="15" x14ac:dyDescent="0.25">
      <c r="A1338" t="s">
        <v>2455</v>
      </c>
      <c r="B1338" t="s">
        <v>11</v>
      </c>
      <c r="C1338" t="s">
        <v>12</v>
      </c>
      <c r="D1338" t="s">
        <v>24</v>
      </c>
      <c r="E1338" t="s">
        <v>54</v>
      </c>
      <c r="F1338" t="s">
        <v>55</v>
      </c>
      <c r="G1338" t="s">
        <v>184</v>
      </c>
      <c r="H1338"/>
      <c r="I1338"/>
      <c r="J1338"/>
      <c r="K1338" t="s">
        <v>4608</v>
      </c>
      <c r="L1338">
        <v>90969</v>
      </c>
      <c r="M1338" t="s">
        <v>3174</v>
      </c>
    </row>
    <row r="1339" spans="1:13" ht="15" x14ac:dyDescent="0.25">
      <c r="A1339" t="s">
        <v>2167</v>
      </c>
      <c r="B1339" t="s">
        <v>11</v>
      </c>
      <c r="C1339" t="s">
        <v>12</v>
      </c>
      <c r="D1339" t="s">
        <v>24</v>
      </c>
      <c r="E1339" t="s">
        <v>54</v>
      </c>
      <c r="F1339" t="s">
        <v>55</v>
      </c>
      <c r="G1339" t="s">
        <v>56</v>
      </c>
      <c r="H1339"/>
      <c r="I1339"/>
      <c r="J1339"/>
      <c r="K1339" t="s">
        <v>4609</v>
      </c>
      <c r="L1339">
        <v>61130</v>
      </c>
      <c r="M1339" t="s">
        <v>2306</v>
      </c>
    </row>
    <row r="1340" spans="1:13" ht="15" x14ac:dyDescent="0.25">
      <c r="A1340" t="s">
        <v>177</v>
      </c>
      <c r="B1340" t="s">
        <v>11</v>
      </c>
      <c r="C1340" t="s">
        <v>12</v>
      </c>
      <c r="D1340" t="s">
        <v>101</v>
      </c>
      <c r="E1340" t="s">
        <v>174</v>
      </c>
      <c r="F1340" t="s">
        <v>175</v>
      </c>
      <c r="G1340" t="s">
        <v>176</v>
      </c>
      <c r="H1340"/>
      <c r="I1340"/>
      <c r="J1340"/>
      <c r="K1340" t="s">
        <v>4610</v>
      </c>
      <c r="L1340">
        <v>140765</v>
      </c>
      <c r="M1340" t="s">
        <v>3175</v>
      </c>
    </row>
    <row r="1341" spans="1:13" ht="15" x14ac:dyDescent="0.25">
      <c r="A1341" t="s">
        <v>1811</v>
      </c>
      <c r="B1341" t="s">
        <v>11</v>
      </c>
      <c r="C1341" t="s">
        <v>12</v>
      </c>
      <c r="D1341" t="s">
        <v>36</v>
      </c>
      <c r="E1341" t="s">
        <v>44</v>
      </c>
      <c r="F1341" t="s">
        <v>45</v>
      </c>
      <c r="G1341" t="s">
        <v>45</v>
      </c>
      <c r="H1341"/>
      <c r="I1341"/>
      <c r="J1341"/>
      <c r="K1341" t="s">
        <v>4611</v>
      </c>
      <c r="L1341">
        <v>69154</v>
      </c>
      <c r="M1341" t="s">
        <v>3176</v>
      </c>
    </row>
    <row r="1342" spans="1:13" ht="15" x14ac:dyDescent="0.25">
      <c r="A1342" t="s">
        <v>1476</v>
      </c>
      <c r="B1342" t="s">
        <v>11</v>
      </c>
      <c r="C1342" t="s">
        <v>12</v>
      </c>
      <c r="D1342" t="s">
        <v>111</v>
      </c>
      <c r="E1342" t="s">
        <v>304</v>
      </c>
      <c r="F1342" t="s">
        <v>305</v>
      </c>
      <c r="G1342" t="s">
        <v>382</v>
      </c>
      <c r="H1342"/>
      <c r="I1342"/>
      <c r="J1342"/>
      <c r="K1342" t="s">
        <v>4612</v>
      </c>
      <c r="L1342">
        <v>689075</v>
      </c>
      <c r="M1342" t="s">
        <v>3177</v>
      </c>
    </row>
    <row r="1343" spans="1:13" ht="15" x14ac:dyDescent="0.25">
      <c r="A1343" t="s">
        <v>1054</v>
      </c>
      <c r="B1343" t="s">
        <v>11</v>
      </c>
      <c r="C1343" t="s">
        <v>12</v>
      </c>
      <c r="D1343" t="s">
        <v>36</v>
      </c>
      <c r="E1343" t="s">
        <v>44</v>
      </c>
      <c r="F1343" t="s">
        <v>699</v>
      </c>
      <c r="G1343" t="s">
        <v>699</v>
      </c>
      <c r="H1343"/>
      <c r="I1343"/>
      <c r="J1343"/>
      <c r="K1343" t="s">
        <v>4613</v>
      </c>
      <c r="L1343">
        <v>7678</v>
      </c>
      <c r="M1343" t="s">
        <v>3178</v>
      </c>
    </row>
    <row r="1344" spans="1:13" ht="15" x14ac:dyDescent="0.25">
      <c r="A1344" t="s">
        <v>1742</v>
      </c>
      <c r="B1344" t="s">
        <v>11</v>
      </c>
      <c r="C1344" t="s">
        <v>12</v>
      </c>
      <c r="D1344" t="s">
        <v>29</v>
      </c>
      <c r="E1344" t="s">
        <v>30</v>
      </c>
      <c r="F1344" t="s">
        <v>105</v>
      </c>
      <c r="G1344" t="s">
        <v>106</v>
      </c>
      <c r="H1344" t="s">
        <v>107</v>
      </c>
      <c r="I1344" t="s">
        <v>108</v>
      </c>
      <c r="J1344" t="s">
        <v>109</v>
      </c>
      <c r="K1344" t="s">
        <v>4614</v>
      </c>
      <c r="L1344">
        <v>70135</v>
      </c>
      <c r="M1344" t="s">
        <v>3179</v>
      </c>
    </row>
    <row r="1345" spans="1:13" ht="15" x14ac:dyDescent="0.25">
      <c r="A1345" t="s">
        <v>1687</v>
      </c>
      <c r="B1345" t="s">
        <v>11</v>
      </c>
      <c r="C1345" t="s">
        <v>12</v>
      </c>
      <c r="D1345" t="s">
        <v>29</v>
      </c>
      <c r="E1345" t="s">
        <v>30</v>
      </c>
      <c r="F1345" t="s">
        <v>105</v>
      </c>
      <c r="G1345" t="s">
        <v>114</v>
      </c>
      <c r="H1345" t="s">
        <v>115</v>
      </c>
      <c r="I1345" t="s">
        <v>1340</v>
      </c>
      <c r="J1345" t="s">
        <v>1341</v>
      </c>
      <c r="K1345" t="s">
        <v>4615</v>
      </c>
      <c r="L1345">
        <v>61200</v>
      </c>
      <c r="M1345" t="s">
        <v>2039</v>
      </c>
    </row>
    <row r="1346" spans="1:13" ht="15" x14ac:dyDescent="0.25">
      <c r="A1346" t="s">
        <v>1324</v>
      </c>
      <c r="B1346" t="s">
        <v>11</v>
      </c>
      <c r="C1346" t="s">
        <v>12</v>
      </c>
      <c r="D1346" t="s">
        <v>24</v>
      </c>
      <c r="E1346" t="s">
        <v>54</v>
      </c>
      <c r="F1346" t="s">
        <v>60</v>
      </c>
      <c r="G1346" t="s">
        <v>933</v>
      </c>
      <c r="H1346" t="s">
        <v>934</v>
      </c>
      <c r="I1346"/>
      <c r="J1346"/>
      <c r="K1346" t="s">
        <v>4616</v>
      </c>
      <c r="L1346">
        <v>110745</v>
      </c>
      <c r="M1346" t="s">
        <v>1525</v>
      </c>
    </row>
    <row r="1347" spans="1:13" ht="15" x14ac:dyDescent="0.25">
      <c r="A1347" t="s">
        <v>1266</v>
      </c>
      <c r="B1347" t="s">
        <v>11</v>
      </c>
      <c r="C1347" t="s">
        <v>12</v>
      </c>
      <c r="D1347" t="s">
        <v>101</v>
      </c>
      <c r="E1347" t="s">
        <v>338</v>
      </c>
      <c r="F1347"/>
      <c r="G1347" t="s">
        <v>338</v>
      </c>
      <c r="H1347"/>
      <c r="I1347"/>
      <c r="J1347"/>
      <c r="K1347" t="s">
        <v>4617</v>
      </c>
      <c r="L1347">
        <v>11947765</v>
      </c>
      <c r="M1347" t="s">
        <v>3180</v>
      </c>
    </row>
    <row r="1348" spans="1:13" ht="15" x14ac:dyDescent="0.25">
      <c r="A1348" t="s">
        <v>337</v>
      </c>
      <c r="B1348" t="s">
        <v>11</v>
      </c>
      <c r="C1348" t="s">
        <v>12</v>
      </c>
      <c r="D1348" t="s">
        <v>101</v>
      </c>
      <c r="E1348" t="s">
        <v>338</v>
      </c>
      <c r="F1348"/>
      <c r="G1348" t="s">
        <v>338</v>
      </c>
      <c r="H1348"/>
      <c r="I1348"/>
      <c r="J1348"/>
      <c r="K1348" t="s">
        <v>4618</v>
      </c>
      <c r="L1348">
        <v>79029</v>
      </c>
      <c r="M1348" t="s">
        <v>3180</v>
      </c>
    </row>
    <row r="1349" spans="1:13" ht="15" x14ac:dyDescent="0.25">
      <c r="A1349" t="s">
        <v>991</v>
      </c>
      <c r="B1349" t="s">
        <v>11</v>
      </c>
      <c r="C1349" t="s">
        <v>12</v>
      </c>
      <c r="D1349" t="s">
        <v>228</v>
      </c>
      <c r="E1349" t="s">
        <v>233</v>
      </c>
      <c r="F1349" t="s">
        <v>234</v>
      </c>
      <c r="G1349" t="s">
        <v>234</v>
      </c>
      <c r="H1349"/>
      <c r="I1349"/>
      <c r="J1349"/>
      <c r="K1349" t="s">
        <v>4619</v>
      </c>
      <c r="L1349">
        <v>18936</v>
      </c>
      <c r="M1349" t="s">
        <v>1123</v>
      </c>
    </row>
    <row r="1350" spans="1:13" ht="15" x14ac:dyDescent="0.25">
      <c r="A1350" t="s">
        <v>87</v>
      </c>
      <c r="B1350" t="s">
        <v>11</v>
      </c>
      <c r="C1350" t="s">
        <v>12</v>
      </c>
      <c r="D1350" t="s">
        <v>24</v>
      </c>
      <c r="E1350" t="s">
        <v>25</v>
      </c>
      <c r="F1350" t="s">
        <v>26</v>
      </c>
      <c r="G1350" t="s">
        <v>26</v>
      </c>
      <c r="H1350"/>
      <c r="I1350"/>
      <c r="J1350"/>
      <c r="K1350" t="s">
        <v>4620</v>
      </c>
      <c r="L1350">
        <v>68345</v>
      </c>
      <c r="M1350" t="s">
        <v>3181</v>
      </c>
    </row>
    <row r="1351" spans="1:13" ht="15" x14ac:dyDescent="0.25">
      <c r="A1351" t="s">
        <v>1939</v>
      </c>
      <c r="B1351" t="s">
        <v>11</v>
      </c>
      <c r="C1351" t="s">
        <v>12</v>
      </c>
      <c r="D1351" t="s">
        <v>36</v>
      </c>
      <c r="E1351" t="s">
        <v>44</v>
      </c>
      <c r="F1351" t="s">
        <v>323</v>
      </c>
      <c r="G1351" t="s">
        <v>323</v>
      </c>
      <c r="H1351"/>
      <c r="I1351"/>
      <c r="J1351"/>
      <c r="K1351" t="s">
        <v>4621</v>
      </c>
      <c r="L1351">
        <v>637759</v>
      </c>
      <c r="M1351" t="s">
        <v>2122</v>
      </c>
    </row>
    <row r="1352" spans="1:13" ht="15" x14ac:dyDescent="0.25">
      <c r="A1352" t="s">
        <v>320</v>
      </c>
      <c r="B1352" t="s">
        <v>11</v>
      </c>
      <c r="C1352" t="s">
        <v>12</v>
      </c>
      <c r="D1352" t="s">
        <v>111</v>
      </c>
      <c r="E1352" t="s">
        <v>321</v>
      </c>
      <c r="F1352"/>
      <c r="G1352" t="s">
        <v>321</v>
      </c>
      <c r="H1352"/>
      <c r="I1352"/>
      <c r="J1352"/>
      <c r="K1352" t="s">
        <v>4622</v>
      </c>
      <c r="L1352">
        <v>638088</v>
      </c>
      <c r="M1352" t="s">
        <v>3182</v>
      </c>
    </row>
    <row r="1353" spans="1:13" ht="15" x14ac:dyDescent="0.25">
      <c r="A1353" t="s">
        <v>1657</v>
      </c>
      <c r="B1353" t="s">
        <v>11</v>
      </c>
      <c r="C1353" t="s">
        <v>12</v>
      </c>
      <c r="D1353" t="s">
        <v>111</v>
      </c>
      <c r="E1353" t="s">
        <v>120</v>
      </c>
      <c r="F1353" t="s">
        <v>1226</v>
      </c>
      <c r="G1353" t="s">
        <v>1226</v>
      </c>
      <c r="H1353"/>
      <c r="I1353"/>
      <c r="J1353"/>
      <c r="K1353" t="s">
        <v>4623</v>
      </c>
      <c r="L1353">
        <v>5391140</v>
      </c>
      <c r="M1353" t="s">
        <v>3183</v>
      </c>
    </row>
    <row r="1354" spans="1:13" ht="15" x14ac:dyDescent="0.25">
      <c r="A1354" t="s">
        <v>1664</v>
      </c>
      <c r="B1354" t="s">
        <v>11</v>
      </c>
      <c r="C1354" t="s">
        <v>12</v>
      </c>
      <c r="D1354" t="s">
        <v>111</v>
      </c>
      <c r="E1354" t="s">
        <v>120</v>
      </c>
      <c r="F1354" t="s">
        <v>308</v>
      </c>
      <c r="G1354" t="s">
        <v>309</v>
      </c>
      <c r="H1354" t="s">
        <v>310</v>
      </c>
      <c r="I1354"/>
      <c r="J1354"/>
      <c r="K1354" t="s">
        <v>4624</v>
      </c>
      <c r="L1354">
        <v>5481663</v>
      </c>
      <c r="M1354" t="s">
        <v>3184</v>
      </c>
    </row>
    <row r="1355" spans="1:13" ht="15" x14ac:dyDescent="0.25">
      <c r="A1355" t="s">
        <v>461</v>
      </c>
      <c r="B1355" t="s">
        <v>11</v>
      </c>
      <c r="C1355" t="s">
        <v>12</v>
      </c>
      <c r="D1355" t="s">
        <v>111</v>
      </c>
      <c r="E1355" t="s">
        <v>304</v>
      </c>
      <c r="F1355" t="s">
        <v>305</v>
      </c>
      <c r="G1355" t="s">
        <v>411</v>
      </c>
      <c r="H1355" t="s">
        <v>412</v>
      </c>
      <c r="I1355"/>
      <c r="J1355"/>
      <c r="K1355" t="s">
        <v>4625</v>
      </c>
      <c r="L1355">
        <v>68721301</v>
      </c>
      <c r="M1355" t="s">
        <v>3185</v>
      </c>
    </row>
    <row r="1356" spans="1:13" ht="15" x14ac:dyDescent="0.25">
      <c r="A1356" t="s">
        <v>2268</v>
      </c>
      <c r="B1356" t="s">
        <v>11</v>
      </c>
      <c r="C1356" t="s">
        <v>12</v>
      </c>
      <c r="D1356" t="s">
        <v>24</v>
      </c>
      <c r="E1356" t="s">
        <v>54</v>
      </c>
      <c r="F1356" t="s">
        <v>986</v>
      </c>
      <c r="G1356" t="s">
        <v>986</v>
      </c>
      <c r="H1356"/>
      <c r="I1356"/>
      <c r="J1356"/>
      <c r="K1356" t="s">
        <v>4626</v>
      </c>
      <c r="L1356">
        <v>10895555</v>
      </c>
      <c r="M1356" t="s">
        <v>3186</v>
      </c>
    </row>
    <row r="1357" spans="1:13" ht="15" x14ac:dyDescent="0.25">
      <c r="A1357" t="s">
        <v>1794</v>
      </c>
      <c r="B1357" t="s">
        <v>11</v>
      </c>
      <c r="C1357" t="s">
        <v>12</v>
      </c>
      <c r="D1357" t="s">
        <v>29</v>
      </c>
      <c r="E1357" t="s">
        <v>30</v>
      </c>
      <c r="F1357" t="s">
        <v>31</v>
      </c>
      <c r="G1357" t="s">
        <v>399</v>
      </c>
      <c r="H1357" t="s">
        <v>400</v>
      </c>
      <c r="I1357" t="s">
        <v>401</v>
      </c>
      <c r="J1357"/>
      <c r="K1357" t="s">
        <v>4627</v>
      </c>
      <c r="L1357">
        <v>9798666</v>
      </c>
      <c r="M1357" t="s">
        <v>3187</v>
      </c>
    </row>
    <row r="1358" spans="1:13" ht="15" x14ac:dyDescent="0.25">
      <c r="A1358" t="s">
        <v>1381</v>
      </c>
      <c r="B1358" t="s">
        <v>11</v>
      </c>
      <c r="C1358" t="s">
        <v>12</v>
      </c>
      <c r="D1358" t="s">
        <v>29</v>
      </c>
      <c r="E1358" t="s">
        <v>30</v>
      </c>
      <c r="F1358" t="s">
        <v>31</v>
      </c>
      <c r="G1358" t="s">
        <v>399</v>
      </c>
      <c r="H1358" t="s">
        <v>400</v>
      </c>
      <c r="I1358" t="s">
        <v>401</v>
      </c>
      <c r="J1358"/>
      <c r="K1358" t="s">
        <v>4628</v>
      </c>
      <c r="L1358">
        <v>13604688</v>
      </c>
      <c r="M1358" t="s">
        <v>3188</v>
      </c>
    </row>
    <row r="1359" spans="1:13" ht="15" x14ac:dyDescent="0.25">
      <c r="A1359" t="s">
        <v>439</v>
      </c>
      <c r="B1359" t="s">
        <v>11</v>
      </c>
      <c r="C1359" t="s">
        <v>12</v>
      </c>
      <c r="D1359" t="s">
        <v>101</v>
      </c>
      <c r="E1359" t="s">
        <v>262</v>
      </c>
      <c r="F1359" t="s">
        <v>263</v>
      </c>
      <c r="G1359" t="s">
        <v>440</v>
      </c>
      <c r="H1359"/>
      <c r="I1359"/>
      <c r="J1359"/>
      <c r="K1359" t="s">
        <v>4629</v>
      </c>
      <c r="L1359">
        <v>802</v>
      </c>
      <c r="M1359" t="s">
        <v>3189</v>
      </c>
    </row>
    <row r="1360" spans="1:13" ht="15" x14ac:dyDescent="0.25">
      <c r="A1360" t="s">
        <v>572</v>
      </c>
      <c r="B1360" t="s">
        <v>11</v>
      </c>
      <c r="C1360" t="s">
        <v>12</v>
      </c>
      <c r="D1360" t="s">
        <v>24</v>
      </c>
      <c r="E1360" t="s">
        <v>25</v>
      </c>
      <c r="F1360" t="s">
        <v>388</v>
      </c>
      <c r="G1360" t="s">
        <v>389</v>
      </c>
      <c r="H1360"/>
      <c r="I1360"/>
      <c r="J1360"/>
      <c r="K1360" t="s">
        <v>4630</v>
      </c>
      <c r="L1360">
        <v>16898</v>
      </c>
      <c r="M1360" t="s">
        <v>823</v>
      </c>
    </row>
    <row r="1361" spans="1:13" ht="15" x14ac:dyDescent="0.25">
      <c r="A1361" t="s">
        <v>653</v>
      </c>
      <c r="B1361" t="s">
        <v>11</v>
      </c>
      <c r="C1361" t="s">
        <v>12</v>
      </c>
      <c r="D1361" t="s">
        <v>24</v>
      </c>
      <c r="E1361" t="s">
        <v>25</v>
      </c>
      <c r="F1361" t="s">
        <v>504</v>
      </c>
      <c r="G1361" t="s">
        <v>504</v>
      </c>
      <c r="H1361"/>
      <c r="I1361"/>
      <c r="J1361"/>
      <c r="K1361" t="s">
        <v>4631</v>
      </c>
      <c r="L1361">
        <v>71350180</v>
      </c>
      <c r="M1361" t="s">
        <v>851</v>
      </c>
    </row>
    <row r="1362" spans="1:13" ht="15" x14ac:dyDescent="0.25">
      <c r="A1362" t="s">
        <v>565</v>
      </c>
      <c r="B1362" t="s">
        <v>11</v>
      </c>
      <c r="C1362" t="s">
        <v>12</v>
      </c>
      <c r="D1362" t="s">
        <v>24</v>
      </c>
      <c r="E1362" t="s">
        <v>25</v>
      </c>
      <c r="F1362" t="s">
        <v>504</v>
      </c>
      <c r="G1362" t="s">
        <v>504</v>
      </c>
      <c r="H1362"/>
      <c r="I1362"/>
      <c r="J1362"/>
      <c r="K1362" t="s">
        <v>4632</v>
      </c>
      <c r="L1362">
        <v>5282822</v>
      </c>
      <c r="M1362" t="s">
        <v>1515</v>
      </c>
    </row>
    <row r="1363" spans="1:13" ht="15" x14ac:dyDescent="0.25">
      <c r="A1363" t="s">
        <v>1304</v>
      </c>
      <c r="B1363" t="s">
        <v>11</v>
      </c>
      <c r="C1363" t="s">
        <v>12</v>
      </c>
      <c r="D1363" t="s">
        <v>24</v>
      </c>
      <c r="E1363" t="s">
        <v>25</v>
      </c>
      <c r="F1363" t="s">
        <v>504</v>
      </c>
      <c r="G1363" t="s">
        <v>504</v>
      </c>
      <c r="H1363"/>
      <c r="I1363"/>
      <c r="J1363"/>
      <c r="K1363" t="s">
        <v>4633</v>
      </c>
      <c r="L1363">
        <v>860</v>
      </c>
      <c r="M1363" t="s">
        <v>1515</v>
      </c>
    </row>
    <row r="1364" spans="1:13" ht="15" x14ac:dyDescent="0.25">
      <c r="A1364" t="s">
        <v>1230</v>
      </c>
      <c r="B1364" t="s">
        <v>11</v>
      </c>
      <c r="C1364" t="s">
        <v>12</v>
      </c>
      <c r="D1364" t="s">
        <v>111</v>
      </c>
      <c r="E1364" t="s">
        <v>304</v>
      </c>
      <c r="F1364" t="s">
        <v>305</v>
      </c>
      <c r="G1364" t="s">
        <v>382</v>
      </c>
      <c r="H1364"/>
      <c r="I1364"/>
      <c r="J1364"/>
      <c r="K1364" t="s">
        <v>4634</v>
      </c>
      <c r="L1364">
        <v>11544210</v>
      </c>
      <c r="M1364" t="s">
        <v>3190</v>
      </c>
    </row>
    <row r="1365" spans="1:13" ht="15" x14ac:dyDescent="0.25">
      <c r="A1365" t="s">
        <v>1906</v>
      </c>
      <c r="B1365" t="s">
        <v>11</v>
      </c>
      <c r="C1365" t="s">
        <v>12</v>
      </c>
      <c r="D1365" t="s">
        <v>1792</v>
      </c>
      <c r="E1365" t="s">
        <v>1907</v>
      </c>
      <c r="F1365"/>
      <c r="G1365" t="s">
        <v>1907</v>
      </c>
      <c r="H1365"/>
      <c r="I1365"/>
      <c r="J1365"/>
      <c r="K1365" t="s">
        <v>4635</v>
      </c>
      <c r="L1365">
        <v>4534</v>
      </c>
      <c r="M1365" t="s">
        <v>3191</v>
      </c>
    </row>
    <row r="1366" spans="1:13" ht="15" x14ac:dyDescent="0.25">
      <c r="A1366" t="s">
        <v>1314</v>
      </c>
      <c r="B1366" t="s">
        <v>11</v>
      </c>
      <c r="C1366" t="s">
        <v>12</v>
      </c>
      <c r="D1366" t="s">
        <v>101</v>
      </c>
      <c r="E1366" t="s">
        <v>142</v>
      </c>
      <c r="F1366"/>
      <c r="G1366" t="s">
        <v>142</v>
      </c>
      <c r="H1366"/>
      <c r="I1366"/>
      <c r="J1366"/>
      <c r="K1366" t="s">
        <v>4636</v>
      </c>
      <c r="L1366">
        <v>565323</v>
      </c>
      <c r="M1366" t="s">
        <v>1521</v>
      </c>
    </row>
    <row r="1367" spans="1:13" ht="15" x14ac:dyDescent="0.25">
      <c r="A1367" t="s">
        <v>1280</v>
      </c>
      <c r="B1367" t="s">
        <v>11</v>
      </c>
      <c r="C1367" t="s">
        <v>12</v>
      </c>
      <c r="D1367" t="s">
        <v>36</v>
      </c>
      <c r="E1367" t="s">
        <v>37</v>
      </c>
      <c r="F1367" t="s">
        <v>1281</v>
      </c>
      <c r="G1367" t="s">
        <v>1281</v>
      </c>
      <c r="H1367"/>
      <c r="I1367"/>
      <c r="J1367"/>
      <c r="K1367" t="s">
        <v>4637</v>
      </c>
      <c r="L1367">
        <v>29352</v>
      </c>
      <c r="M1367" t="s">
        <v>3192</v>
      </c>
    </row>
    <row r="1368" spans="1:13" ht="15" x14ac:dyDescent="0.25">
      <c r="A1368" t="s">
        <v>1299</v>
      </c>
      <c r="B1368" t="s">
        <v>11</v>
      </c>
      <c r="C1368" t="s">
        <v>12</v>
      </c>
      <c r="D1368" t="s">
        <v>101</v>
      </c>
      <c r="E1368" t="s">
        <v>142</v>
      </c>
      <c r="F1368" t="s">
        <v>143</v>
      </c>
      <c r="G1368" t="s">
        <v>1300</v>
      </c>
      <c r="H1368"/>
      <c r="I1368"/>
      <c r="J1368"/>
      <c r="K1368" t="s">
        <v>4638</v>
      </c>
      <c r="L1368">
        <v>2758849</v>
      </c>
      <c r="M1368" t="s">
        <v>1514</v>
      </c>
    </row>
    <row r="1369" spans="1:13" ht="15" x14ac:dyDescent="0.25">
      <c r="A1369" t="s">
        <v>1720</v>
      </c>
      <c r="B1369" t="s">
        <v>11</v>
      </c>
      <c r="C1369" t="s">
        <v>12</v>
      </c>
      <c r="D1369" t="s">
        <v>111</v>
      </c>
      <c r="E1369" t="s">
        <v>1071</v>
      </c>
      <c r="F1369" t="s">
        <v>1721</v>
      </c>
      <c r="G1369" t="s">
        <v>1722</v>
      </c>
      <c r="H1369"/>
      <c r="I1369"/>
      <c r="J1369"/>
      <c r="K1369" t="s">
        <v>4639</v>
      </c>
      <c r="L1369">
        <v>21676187</v>
      </c>
      <c r="M1369" t="s">
        <v>2052</v>
      </c>
    </row>
    <row r="1370" spans="1:13" ht="15" x14ac:dyDescent="0.25">
      <c r="A1370" t="s">
        <v>1901</v>
      </c>
      <c r="B1370" t="s">
        <v>11</v>
      </c>
      <c r="C1370" t="s">
        <v>12</v>
      </c>
      <c r="D1370" t="s">
        <v>36</v>
      </c>
      <c r="E1370" t="s">
        <v>37</v>
      </c>
      <c r="F1370" t="s">
        <v>1902</v>
      </c>
      <c r="G1370" t="s">
        <v>1903</v>
      </c>
      <c r="H1370"/>
      <c r="I1370"/>
      <c r="J1370"/>
      <c r="K1370" t="s">
        <v>4640</v>
      </c>
      <c r="L1370">
        <v>10787</v>
      </c>
      <c r="M1370" t="s">
        <v>3193</v>
      </c>
    </row>
    <row r="1371" spans="1:13" ht="15" x14ac:dyDescent="0.25">
      <c r="A1371" t="s">
        <v>2456</v>
      </c>
      <c r="B1371" t="s">
        <v>11</v>
      </c>
      <c r="C1371" t="s">
        <v>12</v>
      </c>
      <c r="D1371" t="s">
        <v>111</v>
      </c>
      <c r="E1371" t="s">
        <v>120</v>
      </c>
      <c r="F1371" t="s">
        <v>1226</v>
      </c>
      <c r="G1371" t="s">
        <v>1226</v>
      </c>
      <c r="H1371"/>
      <c r="I1371"/>
      <c r="J1371"/>
      <c r="K1371" t="s">
        <v>4641</v>
      </c>
      <c r="L1371">
        <v>5281701</v>
      </c>
      <c r="M1371" t="s">
        <v>3194</v>
      </c>
    </row>
    <row r="1372" spans="1:13" ht="15" x14ac:dyDescent="0.25">
      <c r="A1372" t="s">
        <v>1736</v>
      </c>
      <c r="B1372" t="s">
        <v>11</v>
      </c>
      <c r="C1372" t="s">
        <v>12</v>
      </c>
      <c r="D1372" t="s">
        <v>111</v>
      </c>
      <c r="E1372" t="s">
        <v>304</v>
      </c>
      <c r="F1372" t="s">
        <v>305</v>
      </c>
      <c r="G1372" t="s">
        <v>382</v>
      </c>
      <c r="H1372"/>
      <c r="I1372"/>
      <c r="J1372"/>
      <c r="K1372" t="s">
        <v>4642</v>
      </c>
      <c r="L1372">
        <v>735755</v>
      </c>
      <c r="M1372" t="s">
        <v>2057</v>
      </c>
    </row>
    <row r="1373" spans="1:13" ht="15" x14ac:dyDescent="0.25">
      <c r="A1373" t="s">
        <v>2457</v>
      </c>
      <c r="B1373" t="s">
        <v>11</v>
      </c>
      <c r="C1373" t="s">
        <v>12</v>
      </c>
      <c r="D1373" t="s">
        <v>111</v>
      </c>
      <c r="E1373" t="s">
        <v>120</v>
      </c>
      <c r="F1373" t="s">
        <v>121</v>
      </c>
      <c r="G1373" t="s">
        <v>122</v>
      </c>
      <c r="H1373"/>
      <c r="I1373"/>
      <c r="J1373"/>
      <c r="K1373" t="s">
        <v>4643</v>
      </c>
      <c r="L1373">
        <v>165506</v>
      </c>
      <c r="M1373" t="s">
        <v>3195</v>
      </c>
    </row>
    <row r="1374" spans="1:13" ht="15" x14ac:dyDescent="0.25">
      <c r="A1374" t="s">
        <v>1440</v>
      </c>
      <c r="B1374" t="s">
        <v>11</v>
      </c>
      <c r="C1374" t="s">
        <v>12</v>
      </c>
      <c r="D1374" t="s">
        <v>111</v>
      </c>
      <c r="E1374" t="s">
        <v>167</v>
      </c>
      <c r="F1374" t="s">
        <v>1163</v>
      </c>
      <c r="G1374" t="s">
        <v>1163</v>
      </c>
      <c r="H1374"/>
      <c r="I1374"/>
      <c r="J1374"/>
      <c r="K1374" t="s">
        <v>4644</v>
      </c>
      <c r="L1374">
        <v>3083616</v>
      </c>
      <c r="M1374" t="s">
        <v>1556</v>
      </c>
    </row>
    <row r="1375" spans="1:13" ht="15" x14ac:dyDescent="0.25">
      <c r="A1375" t="s">
        <v>1072</v>
      </c>
      <c r="B1375" t="s">
        <v>11</v>
      </c>
      <c r="C1375" t="s">
        <v>12</v>
      </c>
      <c r="D1375" t="s">
        <v>111</v>
      </c>
      <c r="E1375" t="s">
        <v>167</v>
      </c>
      <c r="F1375" t="s">
        <v>168</v>
      </c>
      <c r="G1375" t="s">
        <v>169</v>
      </c>
      <c r="H1375" t="s">
        <v>170</v>
      </c>
      <c r="I1375" t="s">
        <v>1073</v>
      </c>
      <c r="J1375"/>
      <c r="K1375" t="s">
        <v>4645</v>
      </c>
      <c r="L1375">
        <v>344253</v>
      </c>
      <c r="M1375" t="s">
        <v>3196</v>
      </c>
    </row>
    <row r="1376" spans="1:13" ht="15" x14ac:dyDescent="0.25">
      <c r="A1376" t="s">
        <v>1162</v>
      </c>
      <c r="B1376" t="s">
        <v>11</v>
      </c>
      <c r="C1376" t="s">
        <v>12</v>
      </c>
      <c r="D1376" t="s">
        <v>111</v>
      </c>
      <c r="E1376" t="s">
        <v>167</v>
      </c>
      <c r="F1376" t="s">
        <v>1163</v>
      </c>
      <c r="G1376" t="s">
        <v>1164</v>
      </c>
      <c r="H1376"/>
      <c r="I1376"/>
      <c r="J1376"/>
      <c r="K1376" t="s">
        <v>4646</v>
      </c>
      <c r="L1376">
        <v>5702825</v>
      </c>
      <c r="M1376" t="s">
        <v>1236</v>
      </c>
    </row>
    <row r="1377" spans="1:13" ht="15" x14ac:dyDescent="0.25">
      <c r="A1377" t="s">
        <v>1278</v>
      </c>
      <c r="B1377" t="s">
        <v>11</v>
      </c>
      <c r="C1377" t="s">
        <v>12</v>
      </c>
      <c r="D1377" t="s">
        <v>101</v>
      </c>
      <c r="E1377" t="s">
        <v>142</v>
      </c>
      <c r="F1377" t="s">
        <v>1279</v>
      </c>
      <c r="G1377" t="s">
        <v>1279</v>
      </c>
      <c r="H1377"/>
      <c r="I1377"/>
      <c r="J1377"/>
      <c r="K1377" t="s">
        <v>4647</v>
      </c>
      <c r="L1377">
        <v>335610</v>
      </c>
      <c r="M1377" t="s">
        <v>3197</v>
      </c>
    </row>
    <row r="1378" spans="1:13" ht="15" x14ac:dyDescent="0.25">
      <c r="A1378" t="s">
        <v>1629</v>
      </c>
      <c r="B1378" t="s">
        <v>11</v>
      </c>
      <c r="C1378" t="s">
        <v>12</v>
      </c>
      <c r="D1378" t="s">
        <v>111</v>
      </c>
      <c r="E1378" t="s">
        <v>120</v>
      </c>
      <c r="F1378" t="s">
        <v>1592</v>
      </c>
      <c r="G1378" t="s">
        <v>1606</v>
      </c>
      <c r="H1378"/>
      <c r="I1378"/>
      <c r="J1378"/>
      <c r="K1378" t="s">
        <v>4648</v>
      </c>
      <c r="L1378">
        <v>261859</v>
      </c>
      <c r="M1378" t="s">
        <v>3198</v>
      </c>
    </row>
    <row r="1379" spans="1:13" ht="15" x14ac:dyDescent="0.25">
      <c r="A1379" t="s">
        <v>1841</v>
      </c>
      <c r="B1379" t="s">
        <v>11</v>
      </c>
      <c r="C1379" t="s">
        <v>12</v>
      </c>
      <c r="D1379" t="s">
        <v>36</v>
      </c>
      <c r="E1379" t="s">
        <v>37</v>
      </c>
      <c r="F1379" t="s">
        <v>38</v>
      </c>
      <c r="G1379" t="s">
        <v>38</v>
      </c>
      <c r="H1379"/>
      <c r="I1379"/>
      <c r="J1379"/>
      <c r="K1379" t="s">
        <v>4649</v>
      </c>
      <c r="L1379">
        <v>10269</v>
      </c>
      <c r="M1379" t="s">
        <v>3199</v>
      </c>
    </row>
    <row r="1380" spans="1:13" ht="15" x14ac:dyDescent="0.25">
      <c r="A1380" t="s">
        <v>1934</v>
      </c>
      <c r="B1380" t="s">
        <v>11</v>
      </c>
      <c r="C1380" t="s">
        <v>12</v>
      </c>
      <c r="D1380" t="s">
        <v>111</v>
      </c>
      <c r="E1380" t="s">
        <v>321</v>
      </c>
      <c r="F1380"/>
      <c r="G1380" t="s">
        <v>321</v>
      </c>
      <c r="H1380"/>
      <c r="I1380"/>
      <c r="J1380"/>
      <c r="K1380" t="s">
        <v>4650</v>
      </c>
      <c r="L1380">
        <v>5320954</v>
      </c>
      <c r="M1380" t="s">
        <v>2121</v>
      </c>
    </row>
    <row r="1381" spans="1:13" ht="15" x14ac:dyDescent="0.25">
      <c r="A1381" t="s">
        <v>2202</v>
      </c>
      <c r="B1381" t="s">
        <v>11</v>
      </c>
      <c r="C1381" t="s">
        <v>12</v>
      </c>
      <c r="D1381" t="s">
        <v>24</v>
      </c>
      <c r="E1381" t="s">
        <v>54</v>
      </c>
      <c r="F1381" t="s">
        <v>60</v>
      </c>
      <c r="G1381" t="s">
        <v>1069</v>
      </c>
      <c r="H1381"/>
      <c r="I1381"/>
      <c r="J1381"/>
      <c r="K1381" t="s">
        <v>4651</v>
      </c>
      <c r="L1381">
        <v>530421</v>
      </c>
      <c r="M1381" t="s">
        <v>2319</v>
      </c>
    </row>
    <row r="1382" spans="1:13" ht="15" x14ac:dyDescent="0.25">
      <c r="A1382" t="s">
        <v>2458</v>
      </c>
      <c r="B1382" t="s">
        <v>11</v>
      </c>
      <c r="C1382" t="s">
        <v>19</v>
      </c>
      <c r="D1382" t="s">
        <v>20</v>
      </c>
      <c r="E1382" t="s">
        <v>2468</v>
      </c>
      <c r="F1382" t="s">
        <v>2475</v>
      </c>
      <c r="G1382" t="s">
        <v>2475</v>
      </c>
      <c r="H1382"/>
      <c r="I1382"/>
      <c r="J1382"/>
      <c r="K1382" t="s">
        <v>4652</v>
      </c>
      <c r="L1382">
        <v>66348</v>
      </c>
      <c r="M1382" t="s">
        <v>3200</v>
      </c>
    </row>
    <row r="1383" spans="1:13" ht="15" x14ac:dyDescent="0.25">
      <c r="A1383" t="s">
        <v>138</v>
      </c>
      <c r="B1383" t="s">
        <v>11</v>
      </c>
      <c r="C1383" t="s">
        <v>12</v>
      </c>
      <c r="D1383" t="s">
        <v>36</v>
      </c>
      <c r="E1383" t="s">
        <v>44</v>
      </c>
      <c r="F1383" t="s">
        <v>139</v>
      </c>
      <c r="G1383" t="s">
        <v>140</v>
      </c>
      <c r="H1383"/>
      <c r="I1383"/>
      <c r="J1383"/>
      <c r="K1383" t="s">
        <v>4653</v>
      </c>
      <c r="L1383">
        <v>8419</v>
      </c>
      <c r="M1383" t="s">
        <v>3201</v>
      </c>
    </row>
    <row r="1384" spans="1:13" ht="15" x14ac:dyDescent="0.25">
      <c r="A1384" t="s">
        <v>1635</v>
      </c>
      <c r="B1384" t="s">
        <v>11</v>
      </c>
      <c r="C1384" t="s">
        <v>12</v>
      </c>
      <c r="D1384" t="s">
        <v>111</v>
      </c>
      <c r="E1384" t="s">
        <v>120</v>
      </c>
      <c r="F1384" t="s">
        <v>1226</v>
      </c>
      <c r="G1384" t="s">
        <v>1227</v>
      </c>
      <c r="H1384"/>
      <c r="I1384"/>
      <c r="J1384"/>
      <c r="K1384" t="s">
        <v>4654</v>
      </c>
      <c r="L1384">
        <v>5320946</v>
      </c>
      <c r="M1384" t="s">
        <v>3202</v>
      </c>
    </row>
    <row r="1385" spans="1:13" ht="15" x14ac:dyDescent="0.25">
      <c r="A1385" t="s">
        <v>1448</v>
      </c>
      <c r="B1385" t="s">
        <v>11</v>
      </c>
      <c r="C1385" t="s">
        <v>12</v>
      </c>
      <c r="D1385" t="s">
        <v>101</v>
      </c>
      <c r="E1385" t="s">
        <v>1449</v>
      </c>
      <c r="F1385"/>
      <c r="G1385" t="s">
        <v>1449</v>
      </c>
      <c r="H1385"/>
      <c r="I1385"/>
      <c r="J1385"/>
      <c r="K1385" t="s">
        <v>4655</v>
      </c>
      <c r="L1385">
        <v>8438</v>
      </c>
      <c r="M1385" t="s">
        <v>3203</v>
      </c>
    </row>
    <row r="1386" spans="1:13" ht="15" x14ac:dyDescent="0.25">
      <c r="A1386" t="s">
        <v>925</v>
      </c>
      <c r="B1386" t="s">
        <v>11</v>
      </c>
      <c r="C1386" t="s">
        <v>12</v>
      </c>
      <c r="D1386" t="s">
        <v>24</v>
      </c>
      <c r="E1386" t="s">
        <v>54</v>
      </c>
      <c r="F1386" t="s">
        <v>60</v>
      </c>
      <c r="G1386" t="s">
        <v>926</v>
      </c>
      <c r="H1386"/>
      <c r="I1386"/>
      <c r="J1386"/>
      <c r="K1386" t="s">
        <v>4656</v>
      </c>
      <c r="L1386">
        <v>13894537</v>
      </c>
      <c r="M1386" t="s">
        <v>3204</v>
      </c>
    </row>
    <row r="1387" spans="1:13" ht="15" x14ac:dyDescent="0.25">
      <c r="A1387" t="s">
        <v>2220</v>
      </c>
      <c r="B1387" t="s">
        <v>11</v>
      </c>
      <c r="C1387" t="s">
        <v>12</v>
      </c>
      <c r="D1387" t="s">
        <v>24</v>
      </c>
      <c r="E1387" t="s">
        <v>54</v>
      </c>
      <c r="F1387" t="s">
        <v>60</v>
      </c>
      <c r="G1387" t="s">
        <v>926</v>
      </c>
      <c r="H1387"/>
      <c r="I1387"/>
      <c r="J1387"/>
      <c r="K1387" t="s">
        <v>4657</v>
      </c>
      <c r="L1387">
        <v>5315347</v>
      </c>
      <c r="M1387" t="s">
        <v>3204</v>
      </c>
    </row>
    <row r="1388" spans="1:13" ht="15" x14ac:dyDescent="0.25">
      <c r="A1388" t="s">
        <v>1407</v>
      </c>
      <c r="B1388" t="s">
        <v>11</v>
      </c>
      <c r="C1388" t="s">
        <v>12</v>
      </c>
      <c r="D1388" t="s">
        <v>24</v>
      </c>
      <c r="E1388" t="s">
        <v>54</v>
      </c>
      <c r="F1388" t="s">
        <v>60</v>
      </c>
      <c r="G1388" t="s">
        <v>926</v>
      </c>
      <c r="H1388"/>
      <c r="I1388"/>
      <c r="J1388"/>
      <c r="K1388" t="s">
        <v>4658</v>
      </c>
      <c r="L1388">
        <v>11820258</v>
      </c>
      <c r="M1388" t="s">
        <v>3204</v>
      </c>
    </row>
    <row r="1389" spans="1:13" ht="15" x14ac:dyDescent="0.25">
      <c r="A1389" t="s">
        <v>1327</v>
      </c>
      <c r="B1389" t="s">
        <v>11</v>
      </c>
      <c r="C1389" t="s">
        <v>12</v>
      </c>
      <c r="D1389" t="s">
        <v>24</v>
      </c>
      <c r="E1389" t="s">
        <v>54</v>
      </c>
      <c r="F1389" t="s">
        <v>60</v>
      </c>
      <c r="G1389" t="s">
        <v>926</v>
      </c>
      <c r="H1389"/>
      <c r="I1389"/>
      <c r="J1389"/>
      <c r="K1389" t="s">
        <v>4659</v>
      </c>
      <c r="L1389">
        <v>44583886</v>
      </c>
      <c r="M1389" t="s">
        <v>3204</v>
      </c>
    </row>
    <row r="1390" spans="1:13" ht="15" x14ac:dyDescent="0.25">
      <c r="A1390" t="s">
        <v>1406</v>
      </c>
      <c r="B1390" t="s">
        <v>11</v>
      </c>
      <c r="C1390" t="s">
        <v>12</v>
      </c>
      <c r="D1390" t="s">
        <v>24</v>
      </c>
      <c r="E1390" t="s">
        <v>54</v>
      </c>
      <c r="F1390" t="s">
        <v>60</v>
      </c>
      <c r="G1390" t="s">
        <v>926</v>
      </c>
      <c r="H1390"/>
      <c r="I1390"/>
      <c r="J1390"/>
      <c r="K1390" t="s">
        <v>4660</v>
      </c>
      <c r="L1390">
        <v>13894535</v>
      </c>
      <c r="M1390" t="s">
        <v>3204</v>
      </c>
    </row>
    <row r="1391" spans="1:13" ht="15" x14ac:dyDescent="0.25">
      <c r="A1391" t="s">
        <v>1408</v>
      </c>
      <c r="B1391" t="s">
        <v>11</v>
      </c>
      <c r="C1391" t="s">
        <v>12</v>
      </c>
      <c r="D1391" t="s">
        <v>24</v>
      </c>
      <c r="E1391" t="s">
        <v>54</v>
      </c>
      <c r="F1391" t="s">
        <v>60</v>
      </c>
      <c r="G1391" t="s">
        <v>926</v>
      </c>
      <c r="H1391"/>
      <c r="I1391"/>
      <c r="J1391"/>
      <c r="K1391" t="s">
        <v>4661</v>
      </c>
      <c r="L1391">
        <v>21159022</v>
      </c>
      <c r="M1391" t="s">
        <v>3204</v>
      </c>
    </row>
    <row r="1392" spans="1:13" ht="15" x14ac:dyDescent="0.25">
      <c r="A1392" t="s">
        <v>894</v>
      </c>
      <c r="B1392" t="s">
        <v>11</v>
      </c>
      <c r="C1392" t="s">
        <v>12</v>
      </c>
      <c r="D1392" t="s">
        <v>24</v>
      </c>
      <c r="E1392" t="s">
        <v>54</v>
      </c>
      <c r="F1392" t="s">
        <v>55</v>
      </c>
      <c r="G1392" t="s">
        <v>56</v>
      </c>
      <c r="H1392"/>
      <c r="I1392"/>
      <c r="J1392"/>
      <c r="K1392" t="s">
        <v>4662</v>
      </c>
      <c r="L1392">
        <v>14896</v>
      </c>
      <c r="M1392" t="s">
        <v>3205</v>
      </c>
    </row>
    <row r="1393" spans="1:13" ht="15" x14ac:dyDescent="0.25">
      <c r="A1393" t="s">
        <v>2161</v>
      </c>
      <c r="B1393" t="s">
        <v>11</v>
      </c>
      <c r="C1393" t="s">
        <v>12</v>
      </c>
      <c r="D1393" t="s">
        <v>24</v>
      </c>
      <c r="E1393" t="s">
        <v>54</v>
      </c>
      <c r="F1393" t="s">
        <v>55</v>
      </c>
      <c r="G1393" t="s">
        <v>184</v>
      </c>
      <c r="H1393"/>
      <c r="I1393"/>
      <c r="J1393"/>
      <c r="K1393" t="s">
        <v>4663</v>
      </c>
      <c r="L1393">
        <v>12304570</v>
      </c>
      <c r="M1393" t="s">
        <v>3206</v>
      </c>
    </row>
    <row r="1394" spans="1:13" ht="15" x14ac:dyDescent="0.25">
      <c r="A1394" t="s">
        <v>1980</v>
      </c>
      <c r="B1394" t="s">
        <v>11</v>
      </c>
      <c r="C1394" t="s">
        <v>12</v>
      </c>
      <c r="D1394" t="s">
        <v>24</v>
      </c>
      <c r="E1394" t="s">
        <v>54</v>
      </c>
      <c r="F1394" t="s">
        <v>55</v>
      </c>
      <c r="G1394" t="s">
        <v>56</v>
      </c>
      <c r="H1394"/>
      <c r="I1394"/>
      <c r="J1394"/>
      <c r="K1394" t="s">
        <v>4664</v>
      </c>
      <c r="L1394">
        <v>261491</v>
      </c>
      <c r="M1394" t="s">
        <v>3207</v>
      </c>
    </row>
    <row r="1395" spans="1:13" ht="15" x14ac:dyDescent="0.25">
      <c r="A1395" t="s">
        <v>2157</v>
      </c>
      <c r="B1395" t="s">
        <v>11</v>
      </c>
      <c r="C1395" t="s">
        <v>12</v>
      </c>
      <c r="D1395" t="s">
        <v>24</v>
      </c>
      <c r="E1395" t="s">
        <v>54</v>
      </c>
      <c r="F1395" t="s">
        <v>55</v>
      </c>
      <c r="G1395" t="s">
        <v>56</v>
      </c>
      <c r="H1395"/>
      <c r="I1395"/>
      <c r="J1395"/>
      <c r="K1395" t="s">
        <v>4665</v>
      </c>
      <c r="L1395">
        <v>11027</v>
      </c>
      <c r="M1395" t="s">
        <v>3207</v>
      </c>
    </row>
    <row r="1396" spans="1:13" ht="15" x14ac:dyDescent="0.25">
      <c r="A1396" t="s">
        <v>1978</v>
      </c>
      <c r="B1396" t="s">
        <v>11</v>
      </c>
      <c r="C1396" t="s">
        <v>12</v>
      </c>
      <c r="D1396" t="s">
        <v>24</v>
      </c>
      <c r="E1396" t="s">
        <v>54</v>
      </c>
      <c r="F1396" t="s">
        <v>55</v>
      </c>
      <c r="G1396" t="s">
        <v>56</v>
      </c>
      <c r="H1396"/>
      <c r="I1396"/>
      <c r="J1396"/>
      <c r="K1396" t="s">
        <v>4666</v>
      </c>
      <c r="L1396">
        <v>91456</v>
      </c>
      <c r="M1396" t="s">
        <v>3207</v>
      </c>
    </row>
    <row r="1397" spans="1:13" ht="15" x14ac:dyDescent="0.25">
      <c r="A1397" t="s">
        <v>2165</v>
      </c>
      <c r="B1397" t="s">
        <v>11</v>
      </c>
      <c r="C1397" t="s">
        <v>12</v>
      </c>
      <c r="D1397" t="s">
        <v>24</v>
      </c>
      <c r="E1397" t="s">
        <v>54</v>
      </c>
      <c r="F1397" t="s">
        <v>55</v>
      </c>
      <c r="G1397" t="s">
        <v>56</v>
      </c>
      <c r="H1397"/>
      <c r="I1397"/>
      <c r="J1397"/>
      <c r="K1397" t="s">
        <v>4667</v>
      </c>
      <c r="L1397">
        <v>10931629</v>
      </c>
      <c r="M1397" t="s">
        <v>3207</v>
      </c>
    </row>
    <row r="1398" spans="1:13" ht="15" x14ac:dyDescent="0.25">
      <c r="A1398" t="s">
        <v>908</v>
      </c>
      <c r="B1398" t="s">
        <v>11</v>
      </c>
      <c r="C1398" t="s">
        <v>12</v>
      </c>
      <c r="D1398" t="s">
        <v>24</v>
      </c>
      <c r="E1398" t="s">
        <v>54</v>
      </c>
      <c r="F1398" t="s">
        <v>55</v>
      </c>
      <c r="G1398" t="s">
        <v>56</v>
      </c>
      <c r="H1398"/>
      <c r="I1398"/>
      <c r="J1398"/>
      <c r="K1398" t="s">
        <v>4668</v>
      </c>
      <c r="L1398">
        <v>249286</v>
      </c>
      <c r="M1398" t="s">
        <v>3207</v>
      </c>
    </row>
    <row r="1399" spans="1:13" ht="15" x14ac:dyDescent="0.25">
      <c r="A1399" t="s">
        <v>2185</v>
      </c>
      <c r="B1399" t="s">
        <v>11</v>
      </c>
      <c r="C1399" t="s">
        <v>12</v>
      </c>
      <c r="D1399" t="s">
        <v>24</v>
      </c>
      <c r="E1399" t="s">
        <v>54</v>
      </c>
      <c r="F1399" t="s">
        <v>55</v>
      </c>
      <c r="G1399" t="s">
        <v>56</v>
      </c>
      <c r="H1399"/>
      <c r="I1399"/>
      <c r="J1399"/>
      <c r="K1399" t="s">
        <v>4669</v>
      </c>
      <c r="L1399">
        <v>12304613</v>
      </c>
      <c r="M1399" t="s">
        <v>3207</v>
      </c>
    </row>
    <row r="1400" spans="1:13" ht="15" x14ac:dyDescent="0.25">
      <c r="A1400" t="s">
        <v>1979</v>
      </c>
      <c r="B1400" t="s">
        <v>11</v>
      </c>
      <c r="C1400" t="s">
        <v>12</v>
      </c>
      <c r="D1400" t="s">
        <v>24</v>
      </c>
      <c r="E1400" t="s">
        <v>54</v>
      </c>
      <c r="F1400" t="s">
        <v>55</v>
      </c>
      <c r="G1400" t="s">
        <v>56</v>
      </c>
      <c r="H1400"/>
      <c r="I1400"/>
      <c r="J1400"/>
      <c r="K1400" t="s">
        <v>4670</v>
      </c>
      <c r="L1400">
        <v>12304612</v>
      </c>
      <c r="M1400" t="s">
        <v>3207</v>
      </c>
    </row>
    <row r="1401" spans="1:13" ht="15" x14ac:dyDescent="0.25">
      <c r="A1401" t="s">
        <v>2184</v>
      </c>
      <c r="B1401" t="s">
        <v>11</v>
      </c>
      <c r="C1401" t="s">
        <v>12</v>
      </c>
      <c r="D1401" t="s">
        <v>24</v>
      </c>
      <c r="E1401" t="s">
        <v>54</v>
      </c>
      <c r="F1401" t="s">
        <v>55</v>
      </c>
      <c r="G1401" t="s">
        <v>56</v>
      </c>
      <c r="H1401"/>
      <c r="I1401"/>
      <c r="J1401"/>
      <c r="K1401" t="s">
        <v>4671</v>
      </c>
      <c r="L1401">
        <v>6427105</v>
      </c>
      <c r="M1401" t="s">
        <v>3208</v>
      </c>
    </row>
    <row r="1402" spans="1:13" ht="15" x14ac:dyDescent="0.25">
      <c r="A1402" t="s">
        <v>2158</v>
      </c>
      <c r="B1402" t="s">
        <v>11</v>
      </c>
      <c r="C1402" t="s">
        <v>12</v>
      </c>
      <c r="D1402" t="s">
        <v>24</v>
      </c>
      <c r="E1402" t="s">
        <v>54</v>
      </c>
      <c r="F1402" t="s">
        <v>55</v>
      </c>
      <c r="G1402" t="s">
        <v>56</v>
      </c>
      <c r="H1402"/>
      <c r="I1402"/>
      <c r="J1402"/>
      <c r="K1402" t="s">
        <v>4672</v>
      </c>
      <c r="L1402">
        <v>11038</v>
      </c>
      <c r="M1402" t="s">
        <v>3208</v>
      </c>
    </row>
    <row r="1403" spans="1:13" ht="15" x14ac:dyDescent="0.25">
      <c r="A1403" t="s">
        <v>2190</v>
      </c>
      <c r="B1403" t="s">
        <v>11</v>
      </c>
      <c r="C1403" t="s">
        <v>12</v>
      </c>
      <c r="D1403" t="s">
        <v>24</v>
      </c>
      <c r="E1403" t="s">
        <v>54</v>
      </c>
      <c r="F1403" t="s">
        <v>55</v>
      </c>
      <c r="G1403" t="s">
        <v>56</v>
      </c>
      <c r="H1403"/>
      <c r="I1403"/>
      <c r="J1403"/>
      <c r="K1403" t="s">
        <v>4673</v>
      </c>
      <c r="L1403">
        <v>1201521</v>
      </c>
      <c r="M1403" t="s">
        <v>3209</v>
      </c>
    </row>
    <row r="1404" spans="1:13" ht="15" x14ac:dyDescent="0.25">
      <c r="A1404" t="s">
        <v>1962</v>
      </c>
      <c r="B1404" t="s">
        <v>11</v>
      </c>
      <c r="C1404" t="s">
        <v>12</v>
      </c>
      <c r="D1404" t="s">
        <v>24</v>
      </c>
      <c r="E1404" t="s">
        <v>54</v>
      </c>
      <c r="F1404" t="s">
        <v>55</v>
      </c>
      <c r="G1404" t="s">
        <v>187</v>
      </c>
      <c r="H1404"/>
      <c r="I1404"/>
      <c r="J1404"/>
      <c r="K1404" t="s">
        <v>4674</v>
      </c>
      <c r="L1404">
        <v>95376</v>
      </c>
      <c r="M1404" t="s">
        <v>3210</v>
      </c>
    </row>
    <row r="1405" spans="1:13" ht="15" x14ac:dyDescent="0.25">
      <c r="A1405" t="s">
        <v>2261</v>
      </c>
      <c r="B1405" t="s">
        <v>11</v>
      </c>
      <c r="C1405" t="s">
        <v>12</v>
      </c>
      <c r="D1405" t="s">
        <v>24</v>
      </c>
      <c r="E1405" t="s">
        <v>54</v>
      </c>
      <c r="F1405" t="s">
        <v>55</v>
      </c>
      <c r="G1405" t="s">
        <v>58</v>
      </c>
      <c r="H1405"/>
      <c r="I1405"/>
      <c r="J1405"/>
      <c r="K1405" t="s">
        <v>4675</v>
      </c>
      <c r="L1405">
        <v>8842</v>
      </c>
      <c r="M1405" t="s">
        <v>3211</v>
      </c>
    </row>
    <row r="1406" spans="1:13" ht="15" x14ac:dyDescent="0.25">
      <c r="A1406" t="s">
        <v>2182</v>
      </c>
      <c r="B1406" t="s">
        <v>11</v>
      </c>
      <c r="C1406" t="s">
        <v>12</v>
      </c>
      <c r="D1406" t="s">
        <v>24</v>
      </c>
      <c r="E1406" t="s">
        <v>54</v>
      </c>
      <c r="F1406" t="s">
        <v>55</v>
      </c>
      <c r="G1406" t="s">
        <v>58</v>
      </c>
      <c r="H1406"/>
      <c r="I1406"/>
      <c r="J1406"/>
      <c r="K1406" t="s">
        <v>4676</v>
      </c>
      <c r="L1406">
        <v>11126441</v>
      </c>
      <c r="M1406" t="s">
        <v>3212</v>
      </c>
    </row>
    <row r="1407" spans="1:13" ht="15" x14ac:dyDescent="0.25">
      <c r="A1407" t="s">
        <v>502</v>
      </c>
      <c r="B1407" t="s">
        <v>11</v>
      </c>
      <c r="C1407" t="s">
        <v>12</v>
      </c>
      <c r="D1407" t="s">
        <v>24</v>
      </c>
      <c r="E1407" t="s">
        <v>25</v>
      </c>
      <c r="F1407" t="s">
        <v>489</v>
      </c>
      <c r="G1407" t="s">
        <v>489</v>
      </c>
      <c r="H1407"/>
      <c r="I1407"/>
      <c r="J1407"/>
      <c r="K1407" t="s">
        <v>4677</v>
      </c>
      <c r="L1407">
        <v>31251</v>
      </c>
      <c r="M1407" t="s">
        <v>3213</v>
      </c>
    </row>
    <row r="1408" spans="1:13" ht="15" x14ac:dyDescent="0.25">
      <c r="A1408" t="s">
        <v>911</v>
      </c>
      <c r="B1408" t="s">
        <v>11</v>
      </c>
      <c r="C1408" t="s">
        <v>12</v>
      </c>
      <c r="D1408" t="s">
        <v>24</v>
      </c>
      <c r="E1408" t="s">
        <v>54</v>
      </c>
      <c r="F1408" t="s">
        <v>60</v>
      </c>
      <c r="G1408" t="s">
        <v>60</v>
      </c>
      <c r="H1408"/>
      <c r="I1408"/>
      <c r="J1408"/>
      <c r="K1408" t="s">
        <v>4678</v>
      </c>
      <c r="L1408">
        <v>12311396</v>
      </c>
      <c r="M1408" t="s">
        <v>3214</v>
      </c>
    </row>
    <row r="1409" spans="1:13" ht="15" x14ac:dyDescent="0.25">
      <c r="A1409" t="s">
        <v>710</v>
      </c>
      <c r="B1409" t="s">
        <v>11</v>
      </c>
      <c r="C1409" t="s">
        <v>12</v>
      </c>
      <c r="D1409" t="s">
        <v>24</v>
      </c>
      <c r="E1409" t="s">
        <v>54</v>
      </c>
      <c r="F1409" t="s">
        <v>60</v>
      </c>
      <c r="G1409" t="s">
        <v>60</v>
      </c>
      <c r="H1409"/>
      <c r="I1409"/>
      <c r="J1409"/>
      <c r="K1409" t="s">
        <v>4679</v>
      </c>
      <c r="L1409">
        <v>520957</v>
      </c>
      <c r="M1409" t="s">
        <v>3214</v>
      </c>
    </row>
    <row r="1410" spans="1:13" ht="15" x14ac:dyDescent="0.25">
      <c r="A1410" t="s">
        <v>910</v>
      </c>
      <c r="B1410" t="s">
        <v>11</v>
      </c>
      <c r="C1410" t="s">
        <v>12</v>
      </c>
      <c r="D1410" t="s">
        <v>24</v>
      </c>
      <c r="E1410" t="s">
        <v>54</v>
      </c>
      <c r="F1410" t="s">
        <v>60</v>
      </c>
      <c r="G1410" t="s">
        <v>60</v>
      </c>
      <c r="H1410"/>
      <c r="I1410"/>
      <c r="J1410"/>
      <c r="K1410" t="s">
        <v>4680</v>
      </c>
      <c r="L1410">
        <v>53356675</v>
      </c>
      <c r="M1410" t="s">
        <v>3214</v>
      </c>
    </row>
    <row r="1411" spans="1:13" ht="15" x14ac:dyDescent="0.25">
      <c r="A1411" t="s">
        <v>1337</v>
      </c>
      <c r="B1411" t="s">
        <v>11</v>
      </c>
      <c r="C1411" t="s">
        <v>12</v>
      </c>
      <c r="D1411" t="s">
        <v>24</v>
      </c>
      <c r="E1411" t="s">
        <v>54</v>
      </c>
      <c r="F1411" t="s">
        <v>60</v>
      </c>
      <c r="G1411" t="s">
        <v>60</v>
      </c>
      <c r="H1411"/>
      <c r="I1411"/>
      <c r="J1411"/>
      <c r="K1411" t="s">
        <v>4681</v>
      </c>
      <c r="L1411">
        <v>92042758</v>
      </c>
      <c r="M1411" t="s">
        <v>3214</v>
      </c>
    </row>
    <row r="1412" spans="1:13" ht="15" x14ac:dyDescent="0.25">
      <c r="A1412" t="s">
        <v>2459</v>
      </c>
      <c r="B1412" t="s">
        <v>11</v>
      </c>
      <c r="C1412" t="s">
        <v>12</v>
      </c>
      <c r="D1412" t="s">
        <v>36</v>
      </c>
      <c r="E1412" t="s">
        <v>44</v>
      </c>
      <c r="F1412" t="s">
        <v>370</v>
      </c>
      <c r="G1412" t="s">
        <v>391</v>
      </c>
      <c r="H1412"/>
      <c r="I1412"/>
      <c r="J1412"/>
      <c r="K1412" t="s">
        <v>4682</v>
      </c>
      <c r="L1412">
        <v>45036930</v>
      </c>
      <c r="M1412" t="s">
        <v>3215</v>
      </c>
    </row>
    <row r="1413" spans="1:13" ht="15" x14ac:dyDescent="0.25">
      <c r="A1413" t="s">
        <v>980</v>
      </c>
      <c r="B1413" t="s">
        <v>11</v>
      </c>
      <c r="C1413" t="s">
        <v>12</v>
      </c>
      <c r="D1413" t="s">
        <v>24</v>
      </c>
      <c r="E1413" t="s">
        <v>54</v>
      </c>
      <c r="F1413" t="s">
        <v>60</v>
      </c>
      <c r="G1413" t="s">
        <v>60</v>
      </c>
      <c r="H1413"/>
      <c r="I1413"/>
      <c r="J1413"/>
      <c r="K1413" t="s">
        <v>4683</v>
      </c>
      <c r="L1413">
        <v>10104370</v>
      </c>
      <c r="M1413" t="s">
        <v>3216</v>
      </c>
    </row>
    <row r="1414" spans="1:13" ht="15" x14ac:dyDescent="0.25">
      <c r="A1414" t="s">
        <v>10</v>
      </c>
      <c r="B1414" t="s">
        <v>11</v>
      </c>
      <c r="C1414" t="s">
        <v>12</v>
      </c>
      <c r="D1414" t="s">
        <v>13</v>
      </c>
      <c r="E1414" t="s">
        <v>14</v>
      </c>
      <c r="F1414" t="s">
        <v>15</v>
      </c>
      <c r="G1414" t="s">
        <v>16</v>
      </c>
      <c r="H1414" t="s">
        <v>17</v>
      </c>
      <c r="I1414"/>
      <c r="J1414"/>
      <c r="K1414" t="s">
        <v>4684</v>
      </c>
      <c r="L1414">
        <v>6584</v>
      </c>
      <c r="M1414" t="s">
        <v>3217</v>
      </c>
    </row>
    <row r="1415" spans="1:13" ht="15" x14ac:dyDescent="0.25">
      <c r="A1415" t="s">
        <v>691</v>
      </c>
      <c r="B1415" t="s">
        <v>11</v>
      </c>
      <c r="C1415" t="s">
        <v>12</v>
      </c>
      <c r="D1415" t="s">
        <v>228</v>
      </c>
      <c r="E1415" t="s">
        <v>233</v>
      </c>
      <c r="F1415" t="s">
        <v>692</v>
      </c>
      <c r="G1415" t="s">
        <v>692</v>
      </c>
      <c r="H1415"/>
      <c r="I1415"/>
      <c r="J1415"/>
      <c r="K1415" t="s">
        <v>4685</v>
      </c>
      <c r="L1415">
        <v>123385</v>
      </c>
      <c r="M1415" t="s">
        <v>3218</v>
      </c>
    </row>
    <row r="1416" spans="1:13" ht="15" x14ac:dyDescent="0.25">
      <c r="A1416" t="s">
        <v>966</v>
      </c>
      <c r="B1416" t="s">
        <v>11</v>
      </c>
      <c r="C1416" t="s">
        <v>12</v>
      </c>
      <c r="D1416" t="s">
        <v>24</v>
      </c>
      <c r="E1416" t="s">
        <v>54</v>
      </c>
      <c r="F1416" t="s">
        <v>60</v>
      </c>
      <c r="G1416" t="s">
        <v>60</v>
      </c>
      <c r="H1416"/>
      <c r="I1416"/>
      <c r="J1416"/>
      <c r="K1416" t="s">
        <v>4686</v>
      </c>
      <c r="L1416">
        <v>19725</v>
      </c>
      <c r="M1416" t="s">
        <v>3219</v>
      </c>
    </row>
    <row r="1417" spans="1:13" ht="15" x14ac:dyDescent="0.25">
      <c r="A1417" t="s">
        <v>967</v>
      </c>
      <c r="B1417" t="s">
        <v>11</v>
      </c>
      <c r="C1417" t="s">
        <v>12</v>
      </c>
      <c r="D1417" t="s">
        <v>24</v>
      </c>
      <c r="E1417" t="s">
        <v>54</v>
      </c>
      <c r="F1417" t="s">
        <v>60</v>
      </c>
      <c r="G1417" t="s">
        <v>60</v>
      </c>
      <c r="H1417"/>
      <c r="I1417"/>
      <c r="J1417"/>
      <c r="K1417" t="s">
        <v>4687</v>
      </c>
      <c r="L1417">
        <v>442355</v>
      </c>
      <c r="M1417" t="s">
        <v>3219</v>
      </c>
    </row>
    <row r="1418" spans="1:13" ht="15" x14ac:dyDescent="0.25">
      <c r="A1418" t="s">
        <v>969</v>
      </c>
      <c r="B1418" t="s">
        <v>11</v>
      </c>
      <c r="C1418" t="s">
        <v>12</v>
      </c>
      <c r="D1418" t="s">
        <v>24</v>
      </c>
      <c r="E1418" t="s">
        <v>54</v>
      </c>
      <c r="F1418" t="s">
        <v>60</v>
      </c>
      <c r="G1418" t="s">
        <v>60</v>
      </c>
      <c r="H1418"/>
      <c r="I1418"/>
      <c r="J1418"/>
      <c r="K1418" t="s">
        <v>4688</v>
      </c>
      <c r="L1418">
        <v>76319594</v>
      </c>
      <c r="M1418" t="s">
        <v>3219</v>
      </c>
    </row>
    <row r="1419" spans="1:13" ht="15" x14ac:dyDescent="0.25">
      <c r="A1419" t="s">
        <v>968</v>
      </c>
      <c r="B1419" t="s">
        <v>11</v>
      </c>
      <c r="C1419" t="s">
        <v>12</v>
      </c>
      <c r="D1419" t="s">
        <v>24</v>
      </c>
      <c r="E1419" t="s">
        <v>54</v>
      </c>
      <c r="F1419" t="s">
        <v>60</v>
      </c>
      <c r="G1419" t="s">
        <v>60</v>
      </c>
      <c r="H1419"/>
      <c r="I1419"/>
      <c r="J1419"/>
      <c r="K1419" t="s">
        <v>4689</v>
      </c>
      <c r="L1419">
        <v>92042749</v>
      </c>
      <c r="M1419" t="s">
        <v>3219</v>
      </c>
    </row>
    <row r="1420" spans="1:13" ht="15" x14ac:dyDescent="0.25">
      <c r="A1420" t="s">
        <v>916</v>
      </c>
      <c r="B1420" t="s">
        <v>11</v>
      </c>
      <c r="C1420" t="s">
        <v>12</v>
      </c>
      <c r="D1420" t="s">
        <v>24</v>
      </c>
      <c r="E1420" t="s">
        <v>54</v>
      </c>
      <c r="F1420" t="s">
        <v>60</v>
      </c>
      <c r="G1420" t="s">
        <v>60</v>
      </c>
      <c r="H1420"/>
      <c r="I1420"/>
      <c r="J1420"/>
      <c r="K1420" t="s">
        <v>4690</v>
      </c>
      <c r="L1420">
        <v>25245021</v>
      </c>
      <c r="M1420" t="s">
        <v>3219</v>
      </c>
    </row>
    <row r="1421" spans="1:13" ht="15" x14ac:dyDescent="0.25">
      <c r="A1421" t="s">
        <v>2187</v>
      </c>
      <c r="B1421" t="s">
        <v>11</v>
      </c>
      <c r="C1421" t="s">
        <v>12</v>
      </c>
      <c r="D1421" t="s">
        <v>24</v>
      </c>
      <c r="E1421" t="s">
        <v>54</v>
      </c>
      <c r="F1421" t="s">
        <v>55</v>
      </c>
      <c r="G1421" t="s">
        <v>56</v>
      </c>
      <c r="H1421"/>
      <c r="I1421"/>
      <c r="J1421"/>
      <c r="K1421" t="s">
        <v>4691</v>
      </c>
      <c r="L1421">
        <v>159055</v>
      </c>
      <c r="M1421" t="s">
        <v>3220</v>
      </c>
    </row>
    <row r="1422" spans="1:13" ht="15" x14ac:dyDescent="0.25">
      <c r="A1422" t="s">
        <v>970</v>
      </c>
      <c r="B1422" t="s">
        <v>11</v>
      </c>
      <c r="C1422" t="s">
        <v>12</v>
      </c>
      <c r="D1422" t="s">
        <v>24</v>
      </c>
      <c r="E1422" t="s">
        <v>54</v>
      </c>
      <c r="F1422" t="s">
        <v>60</v>
      </c>
      <c r="G1422" t="s">
        <v>60</v>
      </c>
      <c r="H1422"/>
      <c r="I1422"/>
      <c r="J1422"/>
      <c r="K1422" t="s">
        <v>4692</v>
      </c>
      <c r="L1422">
        <v>6429077</v>
      </c>
      <c r="M1422" t="s">
        <v>3221</v>
      </c>
    </row>
    <row r="1423" spans="1:13" ht="15" x14ac:dyDescent="0.25">
      <c r="A1423" t="s">
        <v>1781</v>
      </c>
      <c r="B1423" t="s">
        <v>11</v>
      </c>
      <c r="C1423" t="s">
        <v>12</v>
      </c>
      <c r="D1423" t="s">
        <v>111</v>
      </c>
      <c r="E1423" t="s">
        <v>304</v>
      </c>
      <c r="F1423" t="s">
        <v>305</v>
      </c>
      <c r="G1423" t="s">
        <v>382</v>
      </c>
      <c r="H1423"/>
      <c r="I1423"/>
      <c r="J1423"/>
      <c r="K1423" t="s">
        <v>4693</v>
      </c>
      <c r="L1423">
        <v>6441913</v>
      </c>
      <c r="M1423" t="s">
        <v>3222</v>
      </c>
    </row>
    <row r="1424" spans="1:13" ht="15" x14ac:dyDescent="0.25">
      <c r="A1424" t="s">
        <v>1695</v>
      </c>
      <c r="B1424" t="s">
        <v>11</v>
      </c>
      <c r="C1424" t="s">
        <v>12</v>
      </c>
      <c r="D1424" t="s">
        <v>111</v>
      </c>
      <c r="E1424" t="s">
        <v>120</v>
      </c>
      <c r="F1424" t="s">
        <v>121</v>
      </c>
      <c r="G1424" t="s">
        <v>122</v>
      </c>
      <c r="H1424"/>
      <c r="I1424"/>
      <c r="J1424"/>
      <c r="K1424" t="s">
        <v>4694</v>
      </c>
      <c r="L1424">
        <v>442520</v>
      </c>
      <c r="M1424" t="s">
        <v>3223</v>
      </c>
    </row>
    <row r="1425" spans="1:13" ht="15" x14ac:dyDescent="0.25">
      <c r="A1425" t="s">
        <v>1630</v>
      </c>
      <c r="B1425" t="s">
        <v>11</v>
      </c>
      <c r="C1425" t="s">
        <v>12</v>
      </c>
      <c r="D1425" t="s">
        <v>111</v>
      </c>
      <c r="E1425" t="s">
        <v>120</v>
      </c>
      <c r="F1425" t="s">
        <v>1592</v>
      </c>
      <c r="G1425" t="s">
        <v>1608</v>
      </c>
      <c r="H1425"/>
      <c r="I1425"/>
      <c r="J1425"/>
      <c r="K1425" t="s">
        <v>4695</v>
      </c>
      <c r="L1425">
        <v>5281702</v>
      </c>
      <c r="M1425" t="s">
        <v>3224</v>
      </c>
    </row>
    <row r="1426" spans="1:13" ht="15" x14ac:dyDescent="0.25">
      <c r="A1426" t="s">
        <v>1667</v>
      </c>
      <c r="B1426" t="s">
        <v>11</v>
      </c>
      <c r="C1426" t="s">
        <v>12</v>
      </c>
      <c r="D1426" t="s">
        <v>111</v>
      </c>
      <c r="E1426" t="s">
        <v>120</v>
      </c>
      <c r="F1426" t="s">
        <v>1592</v>
      </c>
      <c r="G1426" t="s">
        <v>1608</v>
      </c>
      <c r="H1426"/>
      <c r="I1426"/>
      <c r="J1426"/>
      <c r="K1426" t="s">
        <v>4696</v>
      </c>
      <c r="L1426">
        <v>5280666</v>
      </c>
      <c r="M1426" t="s">
        <v>3225</v>
      </c>
    </row>
    <row r="1427" spans="1:13" ht="15" x14ac:dyDescent="0.25">
      <c r="A1427" t="s">
        <v>244</v>
      </c>
      <c r="B1427" t="s">
        <v>11</v>
      </c>
      <c r="C1427" t="s">
        <v>12</v>
      </c>
      <c r="D1427" t="s">
        <v>236</v>
      </c>
      <c r="E1427" t="s">
        <v>237</v>
      </c>
      <c r="F1427" t="s">
        <v>238</v>
      </c>
      <c r="G1427" t="s">
        <v>245</v>
      </c>
      <c r="H1427" t="s">
        <v>246</v>
      </c>
      <c r="I1427"/>
      <c r="J1427"/>
      <c r="K1427" t="s">
        <v>4697</v>
      </c>
      <c r="L1427">
        <v>7902</v>
      </c>
      <c r="M1427" t="s">
        <v>3226</v>
      </c>
    </row>
    <row r="1428" spans="1:13" ht="15" x14ac:dyDescent="0.25">
      <c r="A1428" t="s">
        <v>1650</v>
      </c>
      <c r="B1428" t="s">
        <v>11</v>
      </c>
      <c r="C1428" t="s">
        <v>12</v>
      </c>
      <c r="D1428" t="s">
        <v>111</v>
      </c>
      <c r="E1428" t="s">
        <v>1071</v>
      </c>
      <c r="F1428" t="s">
        <v>1590</v>
      </c>
      <c r="G1428" t="s">
        <v>1591</v>
      </c>
      <c r="H1428" t="s">
        <v>1651</v>
      </c>
      <c r="I1428"/>
      <c r="J1428"/>
      <c r="K1428" t="s">
        <v>4698</v>
      </c>
      <c r="L1428">
        <v>5281803</v>
      </c>
      <c r="M1428" t="s">
        <v>3227</v>
      </c>
    </row>
    <row r="1429" spans="1:13" ht="15" x14ac:dyDescent="0.25">
      <c r="A1429" t="s">
        <v>1724</v>
      </c>
      <c r="B1429" t="s">
        <v>11</v>
      </c>
      <c r="C1429" t="s">
        <v>12</v>
      </c>
      <c r="D1429" t="s">
        <v>111</v>
      </c>
      <c r="E1429" t="s">
        <v>1071</v>
      </c>
      <c r="F1429" t="s">
        <v>1590</v>
      </c>
      <c r="G1429" t="s">
        <v>1591</v>
      </c>
      <c r="H1429" t="s">
        <v>1651</v>
      </c>
      <c r="I1429"/>
      <c r="J1429"/>
      <c r="K1429" t="s">
        <v>4699</v>
      </c>
      <c r="L1429">
        <v>24772948</v>
      </c>
      <c r="M1429" t="s">
        <v>3228</v>
      </c>
    </row>
    <row r="1430" spans="1:13" ht="15" x14ac:dyDescent="0.25">
      <c r="A1430" t="s">
        <v>1604</v>
      </c>
      <c r="B1430" t="s">
        <v>11</v>
      </c>
      <c r="C1430" t="s">
        <v>12</v>
      </c>
      <c r="D1430" t="s">
        <v>111</v>
      </c>
      <c r="E1430" t="s">
        <v>1071</v>
      </c>
      <c r="F1430" t="s">
        <v>1590</v>
      </c>
      <c r="G1430" t="s">
        <v>1591</v>
      </c>
      <c r="H1430"/>
      <c r="I1430"/>
      <c r="J1430"/>
      <c r="K1430" t="s">
        <v>4700</v>
      </c>
      <c r="L1430">
        <v>439310</v>
      </c>
      <c r="M1430" t="s">
        <v>3229</v>
      </c>
    </row>
    <row r="1431" spans="1:13" ht="15" x14ac:dyDescent="0.25">
      <c r="A1431" t="s">
        <v>2460</v>
      </c>
      <c r="B1431" t="s">
        <v>11</v>
      </c>
      <c r="C1431" t="s">
        <v>12</v>
      </c>
      <c r="D1431" t="s">
        <v>24</v>
      </c>
      <c r="E1431" t="s">
        <v>54</v>
      </c>
      <c r="F1431" t="s">
        <v>420</v>
      </c>
      <c r="G1431" t="s">
        <v>420</v>
      </c>
      <c r="H1431"/>
      <c r="I1431"/>
      <c r="J1431"/>
      <c r="K1431" t="s">
        <v>4701</v>
      </c>
      <c r="L1431">
        <v>6570088</v>
      </c>
      <c r="M1431" t="s">
        <v>3230</v>
      </c>
    </row>
    <row r="1432" spans="1:13" ht="15" x14ac:dyDescent="0.25">
      <c r="A1432" t="s">
        <v>981</v>
      </c>
      <c r="B1432" t="s">
        <v>11</v>
      </c>
      <c r="C1432" t="s">
        <v>12</v>
      </c>
      <c r="D1432" t="s">
        <v>24</v>
      </c>
      <c r="E1432" t="s">
        <v>54</v>
      </c>
      <c r="F1432" t="s">
        <v>60</v>
      </c>
      <c r="G1432" t="s">
        <v>474</v>
      </c>
      <c r="H1432"/>
      <c r="I1432"/>
      <c r="J1432"/>
      <c r="K1432" t="s">
        <v>4702</v>
      </c>
      <c r="L1432">
        <v>56842786</v>
      </c>
      <c r="M1432" t="s">
        <v>3231</v>
      </c>
    </row>
    <row r="1433" spans="1:13" ht="15" x14ac:dyDescent="0.25">
      <c r="A1433" t="s">
        <v>1375</v>
      </c>
      <c r="B1433" t="s">
        <v>11</v>
      </c>
      <c r="C1433" t="s">
        <v>12</v>
      </c>
      <c r="D1433" t="s">
        <v>24</v>
      </c>
      <c r="E1433" t="s">
        <v>54</v>
      </c>
      <c r="F1433" t="s">
        <v>60</v>
      </c>
      <c r="G1433" t="s">
        <v>474</v>
      </c>
      <c r="H1433"/>
      <c r="I1433"/>
      <c r="J1433"/>
      <c r="K1433" t="s">
        <v>4703</v>
      </c>
      <c r="L1433">
        <v>101973934</v>
      </c>
      <c r="M1433" t="s">
        <v>3231</v>
      </c>
    </row>
    <row r="1434" spans="1:13" ht="15" x14ac:dyDescent="0.25">
      <c r="A1434" t="s">
        <v>1231</v>
      </c>
      <c r="B1434" t="s">
        <v>11</v>
      </c>
      <c r="C1434" t="s">
        <v>12</v>
      </c>
      <c r="D1434" t="s">
        <v>24</v>
      </c>
      <c r="E1434" t="s">
        <v>54</v>
      </c>
      <c r="F1434" t="s">
        <v>60</v>
      </c>
      <c r="G1434" t="s">
        <v>474</v>
      </c>
      <c r="H1434"/>
      <c r="I1434"/>
      <c r="J1434"/>
      <c r="K1434" t="s">
        <v>4704</v>
      </c>
      <c r="L1434">
        <v>76419358</v>
      </c>
      <c r="M1434" t="s">
        <v>3231</v>
      </c>
    </row>
    <row r="1435" spans="1:13" ht="15" x14ac:dyDescent="0.25">
      <c r="A1435" t="s">
        <v>473</v>
      </c>
      <c r="B1435" t="s">
        <v>11</v>
      </c>
      <c r="C1435" t="s">
        <v>12</v>
      </c>
      <c r="D1435" t="s">
        <v>24</v>
      </c>
      <c r="E1435" t="s">
        <v>54</v>
      </c>
      <c r="F1435" t="s">
        <v>60</v>
      </c>
      <c r="G1435" t="s">
        <v>474</v>
      </c>
      <c r="H1435"/>
      <c r="I1435"/>
      <c r="J1435"/>
      <c r="K1435" t="s">
        <v>4705</v>
      </c>
      <c r="L1435">
        <v>91746561</v>
      </c>
      <c r="M1435" t="s">
        <v>3231</v>
      </c>
    </row>
    <row r="1436" spans="1:13" ht="15" x14ac:dyDescent="0.25">
      <c r="A1436" t="s">
        <v>1256</v>
      </c>
      <c r="B1436" t="s">
        <v>11</v>
      </c>
      <c r="C1436" t="s">
        <v>12</v>
      </c>
      <c r="D1436" t="s">
        <v>24</v>
      </c>
      <c r="E1436" t="s">
        <v>54</v>
      </c>
      <c r="F1436" t="s">
        <v>60</v>
      </c>
      <c r="G1436" t="s">
        <v>474</v>
      </c>
      <c r="H1436"/>
      <c r="I1436"/>
      <c r="J1436"/>
      <c r="K1436" t="s">
        <v>4706</v>
      </c>
      <c r="L1436">
        <v>15801109</v>
      </c>
      <c r="M1436" t="s">
        <v>3231</v>
      </c>
    </row>
    <row r="1437" spans="1:13" ht="15" x14ac:dyDescent="0.25">
      <c r="A1437" t="s">
        <v>983</v>
      </c>
      <c r="B1437" t="s">
        <v>11</v>
      </c>
      <c r="C1437" t="s">
        <v>12</v>
      </c>
      <c r="D1437" t="s">
        <v>24</v>
      </c>
      <c r="E1437" t="s">
        <v>54</v>
      </c>
      <c r="F1437" t="s">
        <v>60</v>
      </c>
      <c r="G1437" t="s">
        <v>474</v>
      </c>
      <c r="H1437"/>
      <c r="I1437"/>
      <c r="J1437"/>
      <c r="K1437" t="s">
        <v>4707</v>
      </c>
      <c r="L1437">
        <v>6918391</v>
      </c>
      <c r="M1437" t="s">
        <v>3232</v>
      </c>
    </row>
    <row r="1438" spans="1:13" ht="15" x14ac:dyDescent="0.25">
      <c r="A1438" t="s">
        <v>2260</v>
      </c>
      <c r="B1438" t="s">
        <v>11</v>
      </c>
      <c r="C1438" t="s">
        <v>12</v>
      </c>
      <c r="D1438" t="s">
        <v>24</v>
      </c>
      <c r="E1438" t="s">
        <v>54</v>
      </c>
      <c r="F1438" t="s">
        <v>60</v>
      </c>
      <c r="G1438" t="s">
        <v>127</v>
      </c>
      <c r="H1438"/>
      <c r="I1438"/>
      <c r="J1438"/>
      <c r="K1438" t="s">
        <v>4708</v>
      </c>
      <c r="L1438">
        <v>442393</v>
      </c>
      <c r="M1438" t="s">
        <v>3233</v>
      </c>
    </row>
    <row r="1439" spans="1:13" ht="15" x14ac:dyDescent="0.25">
      <c r="A1439" t="s">
        <v>2461</v>
      </c>
      <c r="B1439" t="s">
        <v>11</v>
      </c>
      <c r="C1439" t="s">
        <v>12</v>
      </c>
      <c r="D1439" t="s">
        <v>24</v>
      </c>
      <c r="E1439" t="s">
        <v>54</v>
      </c>
      <c r="F1439" t="s">
        <v>60</v>
      </c>
      <c r="G1439" t="s">
        <v>127</v>
      </c>
      <c r="H1439"/>
      <c r="I1439"/>
      <c r="J1439"/>
      <c r="K1439" t="s">
        <v>4709</v>
      </c>
      <c r="L1439">
        <v>519361</v>
      </c>
      <c r="M1439" t="s">
        <v>3233</v>
      </c>
    </row>
    <row r="1440" spans="1:13" ht="15" x14ac:dyDescent="0.25">
      <c r="A1440" t="s">
        <v>2462</v>
      </c>
      <c r="B1440" t="s">
        <v>11</v>
      </c>
      <c r="C1440" t="s">
        <v>12</v>
      </c>
      <c r="D1440" t="s">
        <v>24</v>
      </c>
      <c r="E1440" t="s">
        <v>54</v>
      </c>
      <c r="F1440" t="s">
        <v>60</v>
      </c>
      <c r="G1440" t="s">
        <v>127</v>
      </c>
      <c r="H1440"/>
      <c r="I1440"/>
      <c r="J1440"/>
      <c r="K1440" t="s">
        <v>4710</v>
      </c>
      <c r="L1440">
        <v>28237</v>
      </c>
      <c r="M1440" t="s">
        <v>3233</v>
      </c>
    </row>
    <row r="1441" spans="1:13" ht="15" x14ac:dyDescent="0.25">
      <c r="A1441" t="s">
        <v>2463</v>
      </c>
      <c r="B1441" t="s">
        <v>11</v>
      </c>
      <c r="C1441" t="s">
        <v>12</v>
      </c>
      <c r="D1441" t="s">
        <v>24</v>
      </c>
      <c r="E1441" t="s">
        <v>54</v>
      </c>
      <c r="F1441" t="s">
        <v>60</v>
      </c>
      <c r="G1441" t="s">
        <v>127</v>
      </c>
      <c r="H1441"/>
      <c r="I1441"/>
      <c r="J1441"/>
      <c r="K1441" t="s">
        <v>4711</v>
      </c>
      <c r="L1441">
        <v>12309812</v>
      </c>
      <c r="M1441" t="s">
        <v>3233</v>
      </c>
    </row>
    <row r="1442" spans="1:13" ht="15" x14ac:dyDescent="0.25">
      <c r="A1442" t="s">
        <v>923</v>
      </c>
      <c r="B1442" t="s">
        <v>11</v>
      </c>
      <c r="C1442" t="s">
        <v>12</v>
      </c>
      <c r="D1442" t="s">
        <v>24</v>
      </c>
      <c r="E1442" t="s">
        <v>54</v>
      </c>
      <c r="F1442" t="s">
        <v>60</v>
      </c>
      <c r="G1442" t="s">
        <v>60</v>
      </c>
      <c r="H1442"/>
      <c r="I1442"/>
      <c r="J1442"/>
      <c r="K1442" t="s">
        <v>4712</v>
      </c>
      <c r="L1442">
        <v>12306048</v>
      </c>
      <c r="M1442" t="s">
        <v>3234</v>
      </c>
    </row>
    <row r="1443" spans="1:13" ht="15" x14ac:dyDescent="0.25">
      <c r="A1443" t="s">
        <v>1765</v>
      </c>
      <c r="B1443" t="s">
        <v>11</v>
      </c>
      <c r="C1443" t="s">
        <v>12</v>
      </c>
      <c r="D1443" t="s">
        <v>36</v>
      </c>
      <c r="E1443" t="s">
        <v>37</v>
      </c>
      <c r="F1443" t="s">
        <v>77</v>
      </c>
      <c r="G1443" t="s">
        <v>78</v>
      </c>
      <c r="H1443"/>
      <c r="I1443"/>
      <c r="J1443"/>
      <c r="K1443" t="s">
        <v>4713</v>
      </c>
      <c r="L1443">
        <v>5054</v>
      </c>
      <c r="M1443" t="s">
        <v>3235</v>
      </c>
    </row>
    <row r="1444" spans="1:13" ht="15" x14ac:dyDescent="0.25">
      <c r="A1444" t="s">
        <v>1705</v>
      </c>
      <c r="B1444" t="s">
        <v>11</v>
      </c>
      <c r="C1444" t="s">
        <v>12</v>
      </c>
      <c r="D1444" t="s">
        <v>111</v>
      </c>
      <c r="E1444" t="s">
        <v>1071</v>
      </c>
      <c r="F1444" t="s">
        <v>1701</v>
      </c>
      <c r="G1444" t="s">
        <v>1702</v>
      </c>
      <c r="H1444"/>
      <c r="I1444"/>
      <c r="J1444"/>
      <c r="K1444" t="s">
        <v>4714</v>
      </c>
      <c r="L1444">
        <v>101795</v>
      </c>
      <c r="M1444" t="s">
        <v>3236</v>
      </c>
    </row>
    <row r="1445" spans="1:13" ht="15" x14ac:dyDescent="0.25">
      <c r="A1445" t="s">
        <v>1716</v>
      </c>
      <c r="B1445" t="s">
        <v>11</v>
      </c>
      <c r="C1445" t="s">
        <v>12</v>
      </c>
      <c r="D1445" t="s">
        <v>111</v>
      </c>
      <c r="E1445" t="s">
        <v>1071</v>
      </c>
      <c r="F1445" t="s">
        <v>1590</v>
      </c>
      <c r="G1445" t="s">
        <v>1699</v>
      </c>
      <c r="H1445"/>
      <c r="I1445"/>
      <c r="J1445"/>
      <c r="K1445" t="s">
        <v>4715</v>
      </c>
      <c r="L1445">
        <v>14058036</v>
      </c>
      <c r="M1445" t="s">
        <v>3237</v>
      </c>
    </row>
    <row r="1446" spans="1:13" ht="15" x14ac:dyDescent="0.25">
      <c r="A1446" t="s">
        <v>1712</v>
      </c>
      <c r="B1446" t="s">
        <v>11</v>
      </c>
      <c r="C1446" t="s">
        <v>12</v>
      </c>
      <c r="D1446" t="s">
        <v>111</v>
      </c>
      <c r="E1446" t="s">
        <v>1071</v>
      </c>
      <c r="F1446" t="s">
        <v>1590</v>
      </c>
      <c r="G1446" t="s">
        <v>1699</v>
      </c>
      <c r="H1446"/>
      <c r="I1446"/>
      <c r="J1446"/>
      <c r="K1446" t="s">
        <v>4716</v>
      </c>
      <c r="L1446">
        <v>591624</v>
      </c>
      <c r="M1446" t="s">
        <v>3237</v>
      </c>
    </row>
    <row r="1447" spans="1:13" ht="15" x14ac:dyDescent="0.25">
      <c r="A1447" t="s">
        <v>890</v>
      </c>
      <c r="B1447" t="s">
        <v>11</v>
      </c>
      <c r="C1447" t="s">
        <v>12</v>
      </c>
      <c r="D1447" t="s">
        <v>24</v>
      </c>
      <c r="E1447" t="s">
        <v>54</v>
      </c>
      <c r="F1447" t="s">
        <v>55</v>
      </c>
      <c r="G1447" t="s">
        <v>56</v>
      </c>
      <c r="H1447"/>
      <c r="I1447"/>
      <c r="J1447"/>
      <c r="K1447" t="s">
        <v>4717</v>
      </c>
      <c r="L1447">
        <v>17868</v>
      </c>
      <c r="M1447" t="s">
        <v>3238</v>
      </c>
    </row>
    <row r="1448" spans="1:13" ht="15" x14ac:dyDescent="0.25">
      <c r="A1448" t="s">
        <v>892</v>
      </c>
      <c r="B1448" t="s">
        <v>11</v>
      </c>
      <c r="C1448" t="s">
        <v>12</v>
      </c>
      <c r="D1448" t="s">
        <v>24</v>
      </c>
      <c r="E1448" t="s">
        <v>54</v>
      </c>
      <c r="F1448" t="s">
        <v>55</v>
      </c>
      <c r="G1448" t="s">
        <v>56</v>
      </c>
      <c r="H1448"/>
      <c r="I1448"/>
      <c r="J1448"/>
      <c r="K1448" t="s">
        <v>4718</v>
      </c>
      <c r="L1448">
        <v>28930</v>
      </c>
      <c r="M1448" t="s">
        <v>3239</v>
      </c>
    </row>
    <row r="1449" spans="1:13" ht="15" x14ac:dyDescent="0.25">
      <c r="A1449" t="s">
        <v>903</v>
      </c>
      <c r="B1449" t="s">
        <v>11</v>
      </c>
      <c r="C1449" t="s">
        <v>12</v>
      </c>
      <c r="D1449" t="s">
        <v>24</v>
      </c>
      <c r="E1449" t="s">
        <v>54</v>
      </c>
      <c r="F1449" t="s">
        <v>55</v>
      </c>
      <c r="G1449" t="s">
        <v>97</v>
      </c>
      <c r="H1449"/>
      <c r="I1449"/>
      <c r="J1449"/>
      <c r="K1449" t="s">
        <v>4719</v>
      </c>
      <c r="L1449">
        <v>176983</v>
      </c>
      <c r="M1449" t="s">
        <v>3240</v>
      </c>
    </row>
    <row r="1450" spans="1:13" ht="15" x14ac:dyDescent="0.25">
      <c r="A1450" t="s">
        <v>902</v>
      </c>
      <c r="B1450" t="s">
        <v>11</v>
      </c>
      <c r="C1450" t="s">
        <v>12</v>
      </c>
      <c r="D1450" t="s">
        <v>24</v>
      </c>
      <c r="E1450" t="s">
        <v>54</v>
      </c>
      <c r="F1450" t="s">
        <v>55</v>
      </c>
      <c r="G1450" t="s">
        <v>97</v>
      </c>
      <c r="H1450"/>
      <c r="I1450"/>
      <c r="J1450"/>
      <c r="K1450" t="s">
        <v>4720</v>
      </c>
      <c r="L1450">
        <v>7462</v>
      </c>
      <c r="M1450" t="s">
        <v>3241</v>
      </c>
    </row>
    <row r="1451" spans="1:13" ht="15" x14ac:dyDescent="0.25">
      <c r="A1451" t="s">
        <v>694</v>
      </c>
      <c r="B1451" t="s">
        <v>11</v>
      </c>
      <c r="C1451" t="s">
        <v>12</v>
      </c>
      <c r="D1451" t="s">
        <v>36</v>
      </c>
      <c r="E1451" t="s">
        <v>44</v>
      </c>
      <c r="F1451" t="s">
        <v>318</v>
      </c>
      <c r="G1451" t="s">
        <v>318</v>
      </c>
      <c r="H1451"/>
      <c r="I1451"/>
      <c r="J1451"/>
      <c r="K1451" t="s">
        <v>4721</v>
      </c>
      <c r="L1451">
        <v>10703</v>
      </c>
      <c r="M1451" t="s">
        <v>3242</v>
      </c>
    </row>
    <row r="1452" spans="1:13" ht="15" x14ac:dyDescent="0.25">
      <c r="A1452" t="s">
        <v>1277</v>
      </c>
      <c r="B1452" t="s">
        <v>11</v>
      </c>
      <c r="C1452" t="s">
        <v>12</v>
      </c>
      <c r="D1452" t="s">
        <v>24</v>
      </c>
      <c r="E1452" t="s">
        <v>54</v>
      </c>
      <c r="F1452" t="s">
        <v>55</v>
      </c>
      <c r="G1452" t="s">
        <v>97</v>
      </c>
      <c r="H1452"/>
      <c r="I1452"/>
      <c r="J1452"/>
      <c r="K1452" t="s">
        <v>4722</v>
      </c>
      <c r="L1452">
        <v>6431170</v>
      </c>
      <c r="M1452" t="s">
        <v>3243</v>
      </c>
    </row>
    <row r="1453" spans="1:13" ht="15" x14ac:dyDescent="0.25">
      <c r="A1453" t="s">
        <v>2255</v>
      </c>
      <c r="B1453" t="s">
        <v>11</v>
      </c>
      <c r="C1453" t="s">
        <v>12</v>
      </c>
      <c r="D1453" t="s">
        <v>24</v>
      </c>
      <c r="E1453" t="s">
        <v>54</v>
      </c>
      <c r="F1453" t="s">
        <v>60</v>
      </c>
      <c r="G1453" t="s">
        <v>60</v>
      </c>
      <c r="H1453"/>
      <c r="I1453"/>
      <c r="J1453"/>
      <c r="K1453" t="s">
        <v>4723</v>
      </c>
      <c r="L1453">
        <v>16396350</v>
      </c>
      <c r="M1453" t="s">
        <v>3244</v>
      </c>
    </row>
    <row r="1454" spans="1:13" ht="15" x14ac:dyDescent="0.25">
      <c r="A1454" t="s">
        <v>921</v>
      </c>
      <c r="B1454" t="s">
        <v>11</v>
      </c>
      <c r="C1454" t="s">
        <v>12</v>
      </c>
      <c r="D1454" t="s">
        <v>24</v>
      </c>
      <c r="E1454" t="s">
        <v>54</v>
      </c>
      <c r="F1454" t="s">
        <v>60</v>
      </c>
      <c r="G1454" t="s">
        <v>60</v>
      </c>
      <c r="H1454"/>
      <c r="I1454"/>
      <c r="J1454"/>
      <c r="K1454" t="s">
        <v>4724</v>
      </c>
      <c r="L1454">
        <v>12306047</v>
      </c>
      <c r="M1454" t="s">
        <v>3245</v>
      </c>
    </row>
    <row r="1455" spans="1:13" ht="15" x14ac:dyDescent="0.25">
      <c r="A1455" t="s">
        <v>1413</v>
      </c>
      <c r="B1455" t="s">
        <v>11</v>
      </c>
      <c r="C1455" t="s">
        <v>12</v>
      </c>
      <c r="D1455" t="s">
        <v>24</v>
      </c>
      <c r="E1455" t="s">
        <v>54</v>
      </c>
      <c r="F1455" t="s">
        <v>420</v>
      </c>
      <c r="G1455" t="s">
        <v>420</v>
      </c>
      <c r="H1455"/>
      <c r="I1455"/>
      <c r="J1455"/>
      <c r="K1455" t="s">
        <v>4725</v>
      </c>
      <c r="L1455">
        <v>6451376</v>
      </c>
      <c r="M1455" t="s">
        <v>3246</v>
      </c>
    </row>
    <row r="1456" spans="1:13" ht="15" x14ac:dyDescent="0.25">
      <c r="A1456" t="s">
        <v>1985</v>
      </c>
      <c r="B1456" t="s">
        <v>11</v>
      </c>
      <c r="C1456" t="s">
        <v>12</v>
      </c>
      <c r="D1456" t="s">
        <v>24</v>
      </c>
      <c r="E1456" t="s">
        <v>54</v>
      </c>
      <c r="F1456" t="s">
        <v>420</v>
      </c>
      <c r="G1456" t="s">
        <v>420</v>
      </c>
      <c r="H1456"/>
      <c r="I1456"/>
      <c r="J1456"/>
      <c r="K1456" t="s">
        <v>4726</v>
      </c>
      <c r="L1456">
        <v>6432211</v>
      </c>
      <c r="M1456" t="s">
        <v>3247</v>
      </c>
    </row>
    <row r="1457" spans="1:13" ht="15" x14ac:dyDescent="0.25">
      <c r="A1457" t="s">
        <v>1282</v>
      </c>
      <c r="B1457" t="s">
        <v>11</v>
      </c>
      <c r="C1457" t="s">
        <v>12</v>
      </c>
      <c r="D1457" t="s">
        <v>36</v>
      </c>
      <c r="E1457" t="s">
        <v>44</v>
      </c>
      <c r="F1457" t="s">
        <v>1283</v>
      </c>
      <c r="G1457" t="s">
        <v>1283</v>
      </c>
      <c r="H1457"/>
      <c r="I1457"/>
      <c r="J1457"/>
      <c r="K1457" t="s">
        <v>4727</v>
      </c>
      <c r="L1457">
        <v>135566746</v>
      </c>
      <c r="M1457" t="s">
        <v>3248</v>
      </c>
    </row>
    <row r="1458" spans="1:13" ht="15" x14ac:dyDescent="0.25">
      <c r="A1458" t="s">
        <v>515</v>
      </c>
      <c r="B1458" t="s">
        <v>11</v>
      </c>
      <c r="C1458" t="s">
        <v>12</v>
      </c>
      <c r="D1458" t="s">
        <v>24</v>
      </c>
      <c r="E1458" t="s">
        <v>25</v>
      </c>
      <c r="F1458" t="s">
        <v>489</v>
      </c>
      <c r="G1458" t="s">
        <v>500</v>
      </c>
      <c r="H1458"/>
      <c r="I1458"/>
      <c r="J1458"/>
      <c r="K1458" t="s">
        <v>4728</v>
      </c>
      <c r="L1458">
        <v>15609</v>
      </c>
      <c r="M1458" t="s">
        <v>3249</v>
      </c>
    </row>
    <row r="1459" spans="1:13" ht="15" x14ac:dyDescent="0.25">
      <c r="A1459" t="s">
        <v>996</v>
      </c>
      <c r="B1459" t="s">
        <v>11</v>
      </c>
      <c r="C1459" t="s">
        <v>12</v>
      </c>
      <c r="D1459" t="s">
        <v>228</v>
      </c>
      <c r="E1459" t="s">
        <v>229</v>
      </c>
      <c r="F1459" t="s">
        <v>230</v>
      </c>
      <c r="G1459" t="s">
        <v>231</v>
      </c>
      <c r="H1459"/>
      <c r="I1459"/>
      <c r="J1459"/>
      <c r="K1459" t="s">
        <v>4729</v>
      </c>
      <c r="L1459">
        <v>7282</v>
      </c>
      <c r="M1459" t="s">
        <v>3250</v>
      </c>
    </row>
    <row r="1460" spans="1:13" ht="15" x14ac:dyDescent="0.25">
      <c r="A1460" t="s">
        <v>2464</v>
      </c>
      <c r="B1460" t="s">
        <v>11</v>
      </c>
      <c r="C1460" t="s">
        <v>12</v>
      </c>
      <c r="D1460" t="s">
        <v>228</v>
      </c>
      <c r="E1460" t="s">
        <v>229</v>
      </c>
      <c r="F1460" t="s">
        <v>230</v>
      </c>
      <c r="G1460" t="s">
        <v>231</v>
      </c>
      <c r="H1460"/>
      <c r="I1460"/>
      <c r="J1460"/>
      <c r="K1460" t="s">
        <v>4730</v>
      </c>
      <c r="L1460">
        <v>7907</v>
      </c>
      <c r="M1460" t="s">
        <v>3251</v>
      </c>
    </row>
    <row r="1461" spans="1:13" ht="15" x14ac:dyDescent="0.25">
      <c r="A1461" t="s">
        <v>2151</v>
      </c>
      <c r="B1461" t="s">
        <v>11</v>
      </c>
      <c r="C1461" t="s">
        <v>12</v>
      </c>
      <c r="D1461" t="s">
        <v>24</v>
      </c>
      <c r="E1461" t="s">
        <v>54</v>
      </c>
      <c r="F1461" t="s">
        <v>60</v>
      </c>
      <c r="G1461" t="s">
        <v>60</v>
      </c>
      <c r="H1461"/>
      <c r="I1461"/>
      <c r="J1461"/>
      <c r="K1461" t="s">
        <v>4731</v>
      </c>
      <c r="L1461">
        <v>11570735</v>
      </c>
      <c r="M1461" t="s">
        <v>2300</v>
      </c>
    </row>
    <row r="1462" spans="1:13" ht="15" x14ac:dyDescent="0.25">
      <c r="A1462" t="s">
        <v>2239</v>
      </c>
      <c r="B1462" t="s">
        <v>11</v>
      </c>
      <c r="C1462" t="s">
        <v>12</v>
      </c>
      <c r="D1462" t="s">
        <v>24</v>
      </c>
      <c r="E1462" t="s">
        <v>54</v>
      </c>
      <c r="F1462" t="s">
        <v>60</v>
      </c>
      <c r="G1462" t="s">
        <v>60</v>
      </c>
      <c r="H1462"/>
      <c r="I1462"/>
      <c r="J1462"/>
      <c r="K1462" t="s">
        <v>4732</v>
      </c>
      <c r="L1462">
        <v>10922465</v>
      </c>
      <c r="M1462" t="s">
        <v>2332</v>
      </c>
    </row>
    <row r="1463" spans="1:13" ht="15" x14ac:dyDescent="0.25">
      <c r="A1463" t="s">
        <v>1198</v>
      </c>
      <c r="B1463" t="s">
        <v>11</v>
      </c>
      <c r="C1463" t="s">
        <v>12</v>
      </c>
      <c r="D1463" t="s">
        <v>24</v>
      </c>
      <c r="E1463" t="s">
        <v>54</v>
      </c>
      <c r="F1463" t="s">
        <v>420</v>
      </c>
      <c r="G1463" t="s">
        <v>420</v>
      </c>
      <c r="H1463"/>
      <c r="I1463"/>
      <c r="J1463"/>
      <c r="K1463" t="s">
        <v>4733</v>
      </c>
      <c r="L1463">
        <v>146159504</v>
      </c>
      <c r="M1463" t="s">
        <v>1245</v>
      </c>
    </row>
    <row r="1464" spans="1:13" ht="15" x14ac:dyDescent="0.25">
      <c r="A1464" t="s">
        <v>2465</v>
      </c>
      <c r="B1464" t="s">
        <v>11</v>
      </c>
      <c r="C1464" t="s">
        <v>12</v>
      </c>
      <c r="D1464" t="s">
        <v>24</v>
      </c>
      <c r="E1464" t="s">
        <v>54</v>
      </c>
      <c r="F1464" t="s">
        <v>420</v>
      </c>
      <c r="G1464" t="s">
        <v>420</v>
      </c>
      <c r="H1464"/>
      <c r="I1464"/>
      <c r="J1464"/>
      <c r="K1464" t="s">
        <v>4734</v>
      </c>
      <c r="L1464">
        <v>15559752</v>
      </c>
      <c r="M1464" t="s">
        <v>1245</v>
      </c>
    </row>
    <row r="1465" spans="1:13" ht="15" x14ac:dyDescent="0.25">
      <c r="A1465" t="s">
        <v>2274</v>
      </c>
      <c r="B1465" t="s">
        <v>11</v>
      </c>
      <c r="C1465" t="s">
        <v>12</v>
      </c>
      <c r="D1465" t="s">
        <v>24</v>
      </c>
      <c r="E1465" t="s">
        <v>54</v>
      </c>
      <c r="F1465" t="s">
        <v>986</v>
      </c>
      <c r="G1465" t="s">
        <v>986</v>
      </c>
      <c r="H1465"/>
      <c r="I1465"/>
      <c r="J1465"/>
      <c r="K1465" t="s">
        <v>4735</v>
      </c>
      <c r="L1465">
        <v>13934284</v>
      </c>
      <c r="M1465" t="s">
        <v>3252</v>
      </c>
    </row>
    <row r="1466" spans="1:13" ht="15" x14ac:dyDescent="0.25">
      <c r="A1466" t="s">
        <v>1653</v>
      </c>
      <c r="B1466" t="s">
        <v>11</v>
      </c>
      <c r="C1466" t="s">
        <v>12</v>
      </c>
      <c r="D1466" t="s">
        <v>111</v>
      </c>
      <c r="E1466" t="s">
        <v>120</v>
      </c>
      <c r="F1466" t="s">
        <v>1226</v>
      </c>
      <c r="G1466" t="s">
        <v>1226</v>
      </c>
      <c r="H1466"/>
      <c r="I1466"/>
      <c r="J1466"/>
      <c r="K1466" t="s">
        <v>4736</v>
      </c>
      <c r="L1466">
        <v>5281605</v>
      </c>
      <c r="M1466" t="s">
        <v>2023</v>
      </c>
    </row>
    <row r="1467" spans="1:13" ht="15" x14ac:dyDescent="0.25">
      <c r="A1467" t="s">
        <v>1861</v>
      </c>
      <c r="B1467" t="s">
        <v>11</v>
      </c>
      <c r="C1467" t="s">
        <v>12</v>
      </c>
      <c r="D1467" t="s">
        <v>111</v>
      </c>
      <c r="E1467" t="s">
        <v>120</v>
      </c>
      <c r="F1467" t="s">
        <v>121</v>
      </c>
      <c r="G1467" t="s">
        <v>122</v>
      </c>
      <c r="H1467"/>
      <c r="I1467"/>
      <c r="J1467"/>
      <c r="K1467" t="s">
        <v>4737</v>
      </c>
      <c r="L1467">
        <v>2734580</v>
      </c>
      <c r="M1467" t="s">
        <v>2097</v>
      </c>
    </row>
    <row r="1468" spans="1:13" ht="15" x14ac:dyDescent="0.25">
      <c r="A1468" t="s">
        <v>1589</v>
      </c>
      <c r="B1468" t="s">
        <v>11</v>
      </c>
      <c r="C1468" t="s">
        <v>12</v>
      </c>
      <c r="D1468" t="s">
        <v>111</v>
      </c>
      <c r="E1468" t="s">
        <v>1071</v>
      </c>
      <c r="F1468" t="s">
        <v>1590</v>
      </c>
      <c r="G1468" t="s">
        <v>1591</v>
      </c>
      <c r="H1468"/>
      <c r="I1468"/>
      <c r="J1468"/>
      <c r="K1468" t="s">
        <v>4738</v>
      </c>
      <c r="L1468">
        <v>439784</v>
      </c>
      <c r="M1468" t="s">
        <v>2004</v>
      </c>
    </row>
    <row r="1469" spans="1:13" ht="15" x14ac:dyDescent="0.25">
      <c r="A1469" t="s">
        <v>1764</v>
      </c>
      <c r="B1469" t="s">
        <v>11</v>
      </c>
      <c r="C1469" t="s">
        <v>12</v>
      </c>
      <c r="D1469" t="s">
        <v>111</v>
      </c>
      <c r="E1469" t="s">
        <v>1071</v>
      </c>
      <c r="F1469" t="s">
        <v>1701</v>
      </c>
      <c r="G1469" t="s">
        <v>1702</v>
      </c>
      <c r="H1469"/>
      <c r="I1469"/>
      <c r="J1469"/>
      <c r="K1469" t="s">
        <v>4739</v>
      </c>
      <c r="L1469">
        <v>3347979</v>
      </c>
      <c r="M1469" t="s">
        <v>2064</v>
      </c>
    </row>
    <row r="1470" spans="1:13" ht="15" x14ac:dyDescent="0.25">
      <c r="A1470" t="s">
        <v>1750</v>
      </c>
      <c r="B1470" t="s">
        <v>11</v>
      </c>
      <c r="C1470" t="s">
        <v>12</v>
      </c>
      <c r="D1470" t="s">
        <v>111</v>
      </c>
      <c r="E1470" t="s">
        <v>1751</v>
      </c>
      <c r="F1470" t="s">
        <v>1752</v>
      </c>
      <c r="G1470" t="s">
        <v>1752</v>
      </c>
      <c r="H1470"/>
      <c r="I1470"/>
      <c r="J1470"/>
      <c r="K1470" t="s">
        <v>4740</v>
      </c>
      <c r="L1470">
        <v>442768</v>
      </c>
      <c r="M1470" t="s">
        <v>2062</v>
      </c>
    </row>
    <row r="1471" spans="1:13" ht="15" x14ac:dyDescent="0.25">
      <c r="A1471" t="s">
        <v>1430</v>
      </c>
      <c r="B1471" t="s">
        <v>11</v>
      </c>
      <c r="C1471" t="s">
        <v>12</v>
      </c>
      <c r="D1471" t="s">
        <v>101</v>
      </c>
      <c r="E1471" t="s">
        <v>142</v>
      </c>
      <c r="F1471" t="s">
        <v>143</v>
      </c>
      <c r="G1471" t="s">
        <v>1300</v>
      </c>
      <c r="H1471"/>
      <c r="I1471"/>
      <c r="J1471"/>
      <c r="K1471" t="s">
        <v>4741</v>
      </c>
      <c r="L1471">
        <v>5316891</v>
      </c>
      <c r="M1471" t="s">
        <v>3253</v>
      </c>
    </row>
    <row r="1472" spans="1:13" ht="15" x14ac:dyDescent="0.25">
      <c r="A1472" t="s">
        <v>1644</v>
      </c>
      <c r="B1472" t="s">
        <v>11</v>
      </c>
      <c r="C1472" t="s">
        <v>12</v>
      </c>
      <c r="D1472" t="s">
        <v>111</v>
      </c>
      <c r="E1472" t="s">
        <v>120</v>
      </c>
      <c r="F1472" t="s">
        <v>1592</v>
      </c>
      <c r="G1472" t="s">
        <v>1606</v>
      </c>
      <c r="H1472"/>
      <c r="I1472"/>
      <c r="J1472"/>
      <c r="K1472" t="s">
        <v>4742</v>
      </c>
      <c r="L1472">
        <v>188316</v>
      </c>
      <c r="M1472" t="s">
        <v>3254</v>
      </c>
    </row>
    <row r="1473" spans="1:13" ht="15" x14ac:dyDescent="0.25">
      <c r="A1473" t="s">
        <v>1877</v>
      </c>
      <c r="B1473" t="s">
        <v>11</v>
      </c>
      <c r="C1473" t="s">
        <v>12</v>
      </c>
      <c r="D1473" t="s">
        <v>111</v>
      </c>
      <c r="E1473" t="s">
        <v>1071</v>
      </c>
      <c r="F1473" t="s">
        <v>1721</v>
      </c>
      <c r="G1473" t="s">
        <v>1722</v>
      </c>
      <c r="H1473"/>
      <c r="I1473"/>
      <c r="J1473"/>
      <c r="K1473" t="s">
        <v>4743</v>
      </c>
      <c r="L1473">
        <v>5320053</v>
      </c>
      <c r="M1473" t="s">
        <v>2106</v>
      </c>
    </row>
    <row r="1474" spans="1:13" ht="15" x14ac:dyDescent="0.25">
      <c r="A1474" t="s">
        <v>1668</v>
      </c>
      <c r="B1474" t="s">
        <v>11</v>
      </c>
      <c r="C1474" t="s">
        <v>12</v>
      </c>
      <c r="D1474" t="s">
        <v>111</v>
      </c>
      <c r="E1474" t="s">
        <v>120</v>
      </c>
      <c r="F1474" t="s">
        <v>1592</v>
      </c>
      <c r="G1474" t="s">
        <v>1620</v>
      </c>
      <c r="H1474"/>
      <c r="I1474"/>
      <c r="J1474"/>
      <c r="K1474" t="s">
        <v>4744</v>
      </c>
      <c r="L1474">
        <v>5379096</v>
      </c>
      <c r="M1474" t="s">
        <v>2031</v>
      </c>
    </row>
    <row r="1475" spans="1:13" ht="15" x14ac:dyDescent="0.25">
      <c r="A1475" t="s">
        <v>1726</v>
      </c>
      <c r="B1475" t="s">
        <v>11</v>
      </c>
      <c r="C1475" t="s">
        <v>12</v>
      </c>
      <c r="D1475" t="s">
        <v>111</v>
      </c>
      <c r="E1475" t="s">
        <v>1727</v>
      </c>
      <c r="F1475" t="s">
        <v>1728</v>
      </c>
      <c r="G1475" t="s">
        <v>1728</v>
      </c>
      <c r="H1475"/>
      <c r="I1475"/>
      <c r="J1475"/>
      <c r="K1475" t="s">
        <v>4745</v>
      </c>
      <c r="L1475">
        <v>10065830</v>
      </c>
      <c r="M1475" t="s">
        <v>3255</v>
      </c>
    </row>
    <row r="1476" spans="1:13" ht="15" x14ac:dyDescent="0.25">
      <c r="A1476" t="s">
        <v>1652</v>
      </c>
      <c r="B1476" t="s">
        <v>11</v>
      </c>
      <c r="C1476" t="s">
        <v>12</v>
      </c>
      <c r="D1476" t="s">
        <v>111</v>
      </c>
      <c r="E1476" t="s">
        <v>120</v>
      </c>
      <c r="F1476" t="s">
        <v>1592</v>
      </c>
      <c r="G1476" t="s">
        <v>1606</v>
      </c>
      <c r="H1476"/>
      <c r="I1476"/>
      <c r="J1476"/>
      <c r="K1476" t="s">
        <v>4746</v>
      </c>
      <c r="L1476">
        <v>73207</v>
      </c>
      <c r="M1476" t="s">
        <v>2022</v>
      </c>
    </row>
    <row r="1477" spans="1:13" ht="15" x14ac:dyDescent="0.25">
      <c r="A1477" t="s">
        <v>1729</v>
      </c>
      <c r="B1477" t="s">
        <v>11</v>
      </c>
      <c r="C1477" t="s">
        <v>12</v>
      </c>
      <c r="D1477" t="s">
        <v>111</v>
      </c>
      <c r="E1477" t="s">
        <v>1071</v>
      </c>
      <c r="F1477" t="s">
        <v>1710</v>
      </c>
      <c r="G1477" t="s">
        <v>1710</v>
      </c>
      <c r="H1477"/>
      <c r="I1477"/>
      <c r="J1477"/>
      <c r="K1477" t="s">
        <v>4747</v>
      </c>
      <c r="L1477">
        <v>5281377</v>
      </c>
      <c r="M1477" t="s">
        <v>2054</v>
      </c>
    </row>
    <row r="1478" spans="1:13" ht="15" x14ac:dyDescent="0.25">
      <c r="A1478" t="s">
        <v>1899</v>
      </c>
      <c r="B1478" t="s">
        <v>11</v>
      </c>
      <c r="C1478" t="s">
        <v>12</v>
      </c>
      <c r="D1478" t="s">
        <v>29</v>
      </c>
      <c r="E1478" t="s">
        <v>30</v>
      </c>
      <c r="F1478" t="s">
        <v>40</v>
      </c>
      <c r="G1478" t="s">
        <v>41</v>
      </c>
      <c r="H1478" t="s">
        <v>42</v>
      </c>
      <c r="I1478"/>
      <c r="J1478"/>
      <c r="K1478" t="s">
        <v>4748</v>
      </c>
      <c r="L1478">
        <v>76332505</v>
      </c>
      <c r="M1478" t="s">
        <v>2111</v>
      </c>
    </row>
    <row r="1479" spans="1:13" ht="15" x14ac:dyDescent="0.25">
      <c r="A1479" t="s">
        <v>1496</v>
      </c>
      <c r="B1479" t="s">
        <v>11</v>
      </c>
      <c r="C1479" t="s">
        <v>12</v>
      </c>
      <c r="D1479" t="s">
        <v>111</v>
      </c>
      <c r="E1479" t="s">
        <v>120</v>
      </c>
      <c r="F1479" t="s">
        <v>121</v>
      </c>
      <c r="G1479" t="s">
        <v>1494</v>
      </c>
      <c r="H1479"/>
      <c r="I1479"/>
      <c r="J1479"/>
      <c r="K1479" t="s">
        <v>4749</v>
      </c>
      <c r="L1479">
        <v>442397</v>
      </c>
      <c r="M1479" t="s">
        <v>1576</v>
      </c>
    </row>
    <row r="1480" spans="1:13" ht="15" x14ac:dyDescent="0.25">
      <c r="A1480" t="s">
        <v>1393</v>
      </c>
      <c r="B1480" t="s">
        <v>11</v>
      </c>
      <c r="C1480" t="s">
        <v>12</v>
      </c>
      <c r="D1480" t="s">
        <v>36</v>
      </c>
      <c r="E1480" t="s">
        <v>44</v>
      </c>
      <c r="F1480" t="s">
        <v>323</v>
      </c>
      <c r="G1480" t="s">
        <v>323</v>
      </c>
      <c r="H1480"/>
      <c r="I1480"/>
      <c r="J1480"/>
      <c r="K1480" t="s">
        <v>4750</v>
      </c>
      <c r="L1480">
        <v>73777</v>
      </c>
      <c r="M1480" t="s">
        <v>3256</v>
      </c>
    </row>
    <row r="1481" spans="1:13" ht="15" x14ac:dyDescent="0.25">
      <c r="A1481" t="s">
        <v>1044</v>
      </c>
      <c r="B1481" t="s">
        <v>11</v>
      </c>
      <c r="C1481" t="s">
        <v>12</v>
      </c>
      <c r="D1481" t="s">
        <v>29</v>
      </c>
      <c r="E1481" t="s">
        <v>30</v>
      </c>
      <c r="F1481" t="s">
        <v>105</v>
      </c>
      <c r="G1481" t="s">
        <v>106</v>
      </c>
      <c r="H1481" t="s">
        <v>1045</v>
      </c>
      <c r="I1481"/>
      <c r="J1481"/>
      <c r="K1481" t="s">
        <v>4751</v>
      </c>
      <c r="L1481">
        <v>31256</v>
      </c>
      <c r="M1481" t="s">
        <v>3257</v>
      </c>
    </row>
    <row r="1482" spans="1:13" ht="15" x14ac:dyDescent="0.25">
      <c r="A1482" t="s">
        <v>2145</v>
      </c>
      <c r="B1482" t="s">
        <v>11</v>
      </c>
      <c r="C1482" t="s">
        <v>12</v>
      </c>
      <c r="D1482" t="s">
        <v>24</v>
      </c>
      <c r="E1482" t="s">
        <v>54</v>
      </c>
      <c r="F1482" t="s">
        <v>420</v>
      </c>
      <c r="G1482" t="s">
        <v>420</v>
      </c>
      <c r="H1482"/>
      <c r="I1482"/>
      <c r="J1482"/>
      <c r="K1482" t="s">
        <v>4752</v>
      </c>
      <c r="L1482">
        <v>10891602</v>
      </c>
      <c r="M1482" t="s">
        <v>3258</v>
      </c>
    </row>
    <row r="1483" spans="1:13" ht="15" x14ac:dyDescent="0.25">
      <c r="A1483" t="s">
        <v>2466</v>
      </c>
      <c r="B1483" t="s">
        <v>11</v>
      </c>
      <c r="C1483" t="s">
        <v>12</v>
      </c>
      <c r="D1483" t="s">
        <v>24</v>
      </c>
      <c r="E1483" t="s">
        <v>54</v>
      </c>
      <c r="F1483" t="s">
        <v>420</v>
      </c>
      <c r="G1483" t="s">
        <v>420</v>
      </c>
      <c r="H1483"/>
      <c r="I1483"/>
      <c r="J1483"/>
      <c r="K1483" t="s">
        <v>4753</v>
      </c>
      <c r="L1483">
        <v>92131</v>
      </c>
      <c r="M1483" t="s">
        <v>3258</v>
      </c>
    </row>
    <row r="1484" spans="1:13" ht="15" x14ac:dyDescent="0.25">
      <c r="A1484" t="s">
        <v>1928</v>
      </c>
      <c r="B1484" t="s">
        <v>11</v>
      </c>
      <c r="C1484" t="s">
        <v>12</v>
      </c>
      <c r="D1484" t="s">
        <v>24</v>
      </c>
      <c r="E1484" t="s">
        <v>94</v>
      </c>
      <c r="F1484" t="s">
        <v>1199</v>
      </c>
      <c r="G1484" t="s">
        <v>1199</v>
      </c>
      <c r="H1484"/>
      <c r="I1484"/>
      <c r="J1484"/>
      <c r="K1484" t="s">
        <v>4754</v>
      </c>
      <c r="L1484">
        <v>101729</v>
      </c>
      <c r="M1484" t="s">
        <v>3259</v>
      </c>
    </row>
    <row r="1485" spans="1:13" ht="15" x14ac:dyDescent="0.25">
      <c r="A1485" t="s">
        <v>646</v>
      </c>
      <c r="B1485" t="s">
        <v>11</v>
      </c>
      <c r="C1485" t="s">
        <v>12</v>
      </c>
      <c r="D1485" t="s">
        <v>24</v>
      </c>
      <c r="E1485" t="s">
        <v>25</v>
      </c>
      <c r="F1485" t="s">
        <v>388</v>
      </c>
      <c r="G1485" t="s">
        <v>513</v>
      </c>
      <c r="H1485"/>
      <c r="I1485"/>
      <c r="J1485"/>
      <c r="K1485" t="s">
        <v>4755</v>
      </c>
      <c r="L1485">
        <v>8180</v>
      </c>
      <c r="M1485" t="s">
        <v>850</v>
      </c>
    </row>
    <row r="1486" spans="1:13" ht="15" x14ac:dyDescent="0.25">
      <c r="A1486" t="s">
        <v>579</v>
      </c>
      <c r="B1486" t="s">
        <v>11</v>
      </c>
      <c r="C1486" t="s">
        <v>12</v>
      </c>
      <c r="D1486" t="s">
        <v>24</v>
      </c>
      <c r="E1486" t="s">
        <v>25</v>
      </c>
      <c r="F1486" t="s">
        <v>388</v>
      </c>
      <c r="G1486" t="s">
        <v>389</v>
      </c>
      <c r="H1486"/>
      <c r="I1486"/>
      <c r="J1486"/>
      <c r="K1486" t="s">
        <v>4756</v>
      </c>
      <c r="L1486">
        <v>12530</v>
      </c>
      <c r="M1486" t="s">
        <v>829</v>
      </c>
    </row>
    <row r="1487" spans="1:13" ht="15" x14ac:dyDescent="0.25">
      <c r="A1487" t="s">
        <v>637</v>
      </c>
      <c r="B1487" t="s">
        <v>11</v>
      </c>
      <c r="C1487" t="s">
        <v>12</v>
      </c>
      <c r="D1487" t="s">
        <v>24</v>
      </c>
      <c r="E1487" t="s">
        <v>25</v>
      </c>
      <c r="F1487" t="s">
        <v>388</v>
      </c>
      <c r="G1487" t="s">
        <v>571</v>
      </c>
      <c r="H1487"/>
      <c r="I1487"/>
      <c r="J1487"/>
      <c r="K1487" t="s">
        <v>4757</v>
      </c>
      <c r="L1487">
        <v>17085</v>
      </c>
      <c r="M1487" t="s">
        <v>847</v>
      </c>
    </row>
    <row r="1488" spans="1:13" ht="15" x14ac:dyDescent="0.25">
      <c r="A1488" t="s">
        <v>564</v>
      </c>
      <c r="B1488" t="s">
        <v>11</v>
      </c>
      <c r="C1488" t="s">
        <v>12</v>
      </c>
      <c r="D1488" t="s">
        <v>24</v>
      </c>
      <c r="E1488" t="s">
        <v>25</v>
      </c>
      <c r="F1488" t="s">
        <v>388</v>
      </c>
      <c r="G1488" t="s">
        <v>389</v>
      </c>
      <c r="H1488"/>
      <c r="I1488"/>
      <c r="J1488"/>
      <c r="K1488" t="s">
        <v>4758</v>
      </c>
      <c r="L1488">
        <v>5312411</v>
      </c>
      <c r="M1488" t="s">
        <v>3260</v>
      </c>
    </row>
    <row r="1489" spans="1:13" ht="15" x14ac:dyDescent="0.25">
      <c r="A1489" t="s">
        <v>536</v>
      </c>
      <c r="B1489" t="s">
        <v>11</v>
      </c>
      <c r="C1489" t="s">
        <v>12</v>
      </c>
      <c r="D1489" t="s">
        <v>24</v>
      </c>
      <c r="E1489" t="s">
        <v>25</v>
      </c>
      <c r="F1489" t="s">
        <v>388</v>
      </c>
      <c r="G1489" t="s">
        <v>389</v>
      </c>
      <c r="H1489"/>
      <c r="I1489"/>
      <c r="J1489"/>
      <c r="K1489" t="s">
        <v>4759</v>
      </c>
      <c r="L1489">
        <v>445638</v>
      </c>
      <c r="M1489" t="s">
        <v>3261</v>
      </c>
    </row>
    <row r="1490" spans="1:13" ht="15" x14ac:dyDescent="0.25">
      <c r="A1490" t="s">
        <v>531</v>
      </c>
      <c r="B1490" t="s">
        <v>11</v>
      </c>
      <c r="C1490" t="s">
        <v>12</v>
      </c>
      <c r="D1490" t="s">
        <v>24</v>
      </c>
      <c r="E1490" t="s">
        <v>25</v>
      </c>
      <c r="F1490" t="s">
        <v>388</v>
      </c>
      <c r="G1490" t="s">
        <v>389</v>
      </c>
      <c r="H1490"/>
      <c r="I1490"/>
      <c r="J1490"/>
      <c r="K1490" t="s">
        <v>4760</v>
      </c>
      <c r="L1490">
        <v>5312435</v>
      </c>
      <c r="M1490" t="s">
        <v>3262</v>
      </c>
    </row>
    <row r="1491" spans="1:13" ht="15" x14ac:dyDescent="0.25">
      <c r="A1491" t="s">
        <v>526</v>
      </c>
      <c r="B1491" t="s">
        <v>11</v>
      </c>
      <c r="C1491" t="s">
        <v>12</v>
      </c>
      <c r="D1491" t="s">
        <v>24</v>
      </c>
      <c r="E1491" t="s">
        <v>25</v>
      </c>
      <c r="F1491" t="s">
        <v>388</v>
      </c>
      <c r="G1491" t="s">
        <v>389</v>
      </c>
      <c r="H1491"/>
      <c r="I1491"/>
      <c r="J1491"/>
      <c r="K1491" t="s">
        <v>4761</v>
      </c>
      <c r="L1491">
        <v>5282768</v>
      </c>
      <c r="M1491" t="s">
        <v>3263</v>
      </c>
    </row>
    <row r="1492" spans="1:13" ht="15" x14ac:dyDescent="0.25">
      <c r="A1492" t="s">
        <v>583</v>
      </c>
      <c r="B1492" t="s">
        <v>11</v>
      </c>
      <c r="C1492" t="s">
        <v>12</v>
      </c>
      <c r="D1492" t="s">
        <v>24</v>
      </c>
      <c r="E1492" t="s">
        <v>25</v>
      </c>
      <c r="F1492" t="s">
        <v>388</v>
      </c>
      <c r="G1492" t="s">
        <v>571</v>
      </c>
      <c r="H1492"/>
      <c r="I1492"/>
      <c r="J1492"/>
      <c r="K1492" t="s">
        <v>4762</v>
      </c>
      <c r="L1492">
        <v>5281120</v>
      </c>
      <c r="M1492" t="s">
        <v>3264</v>
      </c>
    </row>
    <row r="1493" spans="1:13" ht="15" x14ac:dyDescent="0.25">
      <c r="A1493" t="s">
        <v>548</v>
      </c>
      <c r="B1493" t="s">
        <v>11</v>
      </c>
      <c r="C1493" t="s">
        <v>12</v>
      </c>
      <c r="D1493" t="s">
        <v>24</v>
      </c>
      <c r="E1493" t="s">
        <v>25</v>
      </c>
      <c r="F1493" t="s">
        <v>504</v>
      </c>
      <c r="G1493" t="s">
        <v>504</v>
      </c>
      <c r="H1493"/>
      <c r="I1493"/>
      <c r="J1493"/>
      <c r="K1493" t="s">
        <v>4763</v>
      </c>
      <c r="L1493">
        <v>5280933</v>
      </c>
      <c r="M1493" t="s">
        <v>3265</v>
      </c>
    </row>
    <row r="1494" spans="1:13" ht="15" x14ac:dyDescent="0.25">
      <c r="A1494" t="s">
        <v>539</v>
      </c>
      <c r="B1494" t="s">
        <v>11</v>
      </c>
      <c r="C1494" t="s">
        <v>12</v>
      </c>
      <c r="D1494" t="s">
        <v>24</v>
      </c>
      <c r="E1494" t="s">
        <v>25</v>
      </c>
      <c r="F1494" t="s">
        <v>388</v>
      </c>
      <c r="G1494" t="s">
        <v>389</v>
      </c>
      <c r="H1494"/>
      <c r="I1494"/>
      <c r="J1494"/>
      <c r="K1494" t="s">
        <v>4764</v>
      </c>
      <c r="L1494">
        <v>6439848</v>
      </c>
      <c r="M1494" t="s">
        <v>3266</v>
      </c>
    </row>
    <row r="1495" spans="1:13" ht="15" x14ac:dyDescent="0.25">
      <c r="A1495" t="s">
        <v>651</v>
      </c>
      <c r="B1495" t="s">
        <v>11</v>
      </c>
      <c r="C1495" t="s">
        <v>12</v>
      </c>
      <c r="D1495" t="s">
        <v>24</v>
      </c>
      <c r="E1495" t="s">
        <v>25</v>
      </c>
      <c r="F1495" t="s">
        <v>388</v>
      </c>
      <c r="G1495" t="s">
        <v>389</v>
      </c>
      <c r="H1495"/>
      <c r="I1495"/>
      <c r="J1495"/>
      <c r="K1495" t="s">
        <v>4765</v>
      </c>
      <c r="L1495">
        <v>5280581</v>
      </c>
      <c r="M1495" t="s">
        <v>3267</v>
      </c>
    </row>
    <row r="1496" spans="1:13" ht="15" x14ac:dyDescent="0.25">
      <c r="A1496" t="s">
        <v>640</v>
      </c>
      <c r="B1496" t="s">
        <v>11</v>
      </c>
      <c r="C1496" t="s">
        <v>12</v>
      </c>
      <c r="D1496" t="s">
        <v>24</v>
      </c>
      <c r="E1496" t="s">
        <v>25</v>
      </c>
      <c r="F1496" t="s">
        <v>388</v>
      </c>
      <c r="G1496" t="s">
        <v>389</v>
      </c>
      <c r="H1496"/>
      <c r="I1496"/>
      <c r="J1496"/>
      <c r="K1496" t="s">
        <v>4766</v>
      </c>
      <c r="L1496">
        <v>90470400</v>
      </c>
      <c r="M1496" t="s">
        <v>3268</v>
      </c>
    </row>
    <row r="1497" spans="1:13" ht="15" x14ac:dyDescent="0.25">
      <c r="A1497" t="s">
        <v>540</v>
      </c>
      <c r="B1497" t="s">
        <v>11</v>
      </c>
      <c r="C1497" t="s">
        <v>12</v>
      </c>
      <c r="D1497" t="s">
        <v>24</v>
      </c>
      <c r="E1497" t="s">
        <v>25</v>
      </c>
      <c r="F1497" t="s">
        <v>388</v>
      </c>
      <c r="G1497" t="s">
        <v>389</v>
      </c>
      <c r="H1497"/>
      <c r="I1497"/>
      <c r="J1497"/>
      <c r="K1497" t="s">
        <v>4767</v>
      </c>
      <c r="L1497">
        <v>444899</v>
      </c>
      <c r="M1497" t="s">
        <v>3269</v>
      </c>
    </row>
    <row r="1498" spans="1:13" ht="15" x14ac:dyDescent="0.25">
      <c r="A1498" t="s">
        <v>652</v>
      </c>
      <c r="B1498" t="s">
        <v>11</v>
      </c>
      <c r="C1498" t="s">
        <v>12</v>
      </c>
      <c r="D1498" t="s">
        <v>24</v>
      </c>
      <c r="E1498" t="s">
        <v>25</v>
      </c>
      <c r="F1498" t="s">
        <v>388</v>
      </c>
      <c r="G1498" t="s">
        <v>389</v>
      </c>
      <c r="H1498"/>
      <c r="I1498"/>
      <c r="J1498"/>
      <c r="K1498" t="s">
        <v>4768</v>
      </c>
      <c r="L1498">
        <v>446284</v>
      </c>
      <c r="M1498" t="s">
        <v>3270</v>
      </c>
    </row>
    <row r="1499" spans="1:13" ht="15" x14ac:dyDescent="0.25">
      <c r="A1499" t="s">
        <v>639</v>
      </c>
      <c r="B1499" t="s">
        <v>11</v>
      </c>
      <c r="C1499" t="s">
        <v>12</v>
      </c>
      <c r="D1499" t="s">
        <v>24</v>
      </c>
      <c r="E1499" t="s">
        <v>25</v>
      </c>
      <c r="F1499" t="s">
        <v>388</v>
      </c>
      <c r="G1499" t="s">
        <v>571</v>
      </c>
      <c r="H1499"/>
      <c r="I1499"/>
      <c r="J1499"/>
      <c r="K1499" t="s">
        <v>4769</v>
      </c>
      <c r="L1499">
        <v>445580</v>
      </c>
      <c r="M1499" t="s">
        <v>3271</v>
      </c>
    </row>
    <row r="1500" spans="1:13" ht="15" x14ac:dyDescent="0.25">
      <c r="A1500" t="s">
        <v>528</v>
      </c>
      <c r="B1500" t="s">
        <v>11</v>
      </c>
      <c r="C1500" t="s">
        <v>12</v>
      </c>
      <c r="D1500" t="s">
        <v>24</v>
      </c>
      <c r="E1500" t="s">
        <v>25</v>
      </c>
      <c r="F1500" t="s">
        <v>388</v>
      </c>
      <c r="G1500" t="s">
        <v>389</v>
      </c>
      <c r="H1500"/>
      <c r="I1500"/>
      <c r="J1500"/>
      <c r="K1500" t="s">
        <v>4770</v>
      </c>
      <c r="L1500">
        <v>68344</v>
      </c>
      <c r="M1500" t="s">
        <v>3272</v>
      </c>
    </row>
    <row r="1501" spans="1:13" ht="15" x14ac:dyDescent="0.25">
      <c r="A1501" t="s">
        <v>685</v>
      </c>
      <c r="B1501" t="s">
        <v>11</v>
      </c>
      <c r="C1501" t="s">
        <v>12</v>
      </c>
      <c r="D1501" t="s">
        <v>101</v>
      </c>
      <c r="E1501" t="s">
        <v>686</v>
      </c>
      <c r="F1501"/>
      <c r="G1501" t="s">
        <v>686</v>
      </c>
      <c r="H1501"/>
      <c r="I1501"/>
      <c r="J1501"/>
      <c r="K1501" t="s">
        <v>4771</v>
      </c>
      <c r="L1501">
        <v>1049</v>
      </c>
      <c r="M1501" t="s">
        <v>858</v>
      </c>
    </row>
    <row r="1502" spans="1:13" ht="15" x14ac:dyDescent="0.25">
      <c r="A1502" t="s">
        <v>1275</v>
      </c>
      <c r="B1502" t="s">
        <v>11</v>
      </c>
      <c r="C1502" t="s">
        <v>12</v>
      </c>
      <c r="D1502" t="s">
        <v>24</v>
      </c>
      <c r="E1502" t="s">
        <v>54</v>
      </c>
      <c r="F1502" t="s">
        <v>60</v>
      </c>
      <c r="G1502" t="s">
        <v>933</v>
      </c>
      <c r="H1502" t="s">
        <v>934</v>
      </c>
      <c r="I1502"/>
      <c r="J1502"/>
      <c r="K1502" t="s">
        <v>4772</v>
      </c>
      <c r="L1502">
        <v>91753473</v>
      </c>
      <c r="M1502" t="s">
        <v>1505</v>
      </c>
    </row>
    <row r="1503" spans="1:13" ht="15" x14ac:dyDescent="0.25">
      <c r="A1503" t="s">
        <v>1200</v>
      </c>
      <c r="B1503" t="s">
        <v>11</v>
      </c>
      <c r="C1503" t="s">
        <v>12</v>
      </c>
      <c r="D1503" t="s">
        <v>228</v>
      </c>
      <c r="E1503" t="s">
        <v>233</v>
      </c>
      <c r="F1503" t="s">
        <v>692</v>
      </c>
      <c r="G1503" t="s">
        <v>692</v>
      </c>
      <c r="H1503"/>
      <c r="I1503"/>
      <c r="J1503"/>
      <c r="K1503" t="s">
        <v>4773</v>
      </c>
      <c r="L1503">
        <v>5367571</v>
      </c>
      <c r="M1503" t="s">
        <v>1246</v>
      </c>
    </row>
    <row r="1504" spans="1:13" ht="15" x14ac:dyDescent="0.25">
      <c r="A1504" t="s">
        <v>1345</v>
      </c>
      <c r="B1504" t="s">
        <v>11</v>
      </c>
      <c r="C1504" t="s">
        <v>12</v>
      </c>
      <c r="D1504" t="s">
        <v>36</v>
      </c>
      <c r="E1504" t="s">
        <v>37</v>
      </c>
      <c r="F1504" t="s">
        <v>38</v>
      </c>
      <c r="G1504" t="s">
        <v>38</v>
      </c>
      <c r="H1504"/>
      <c r="I1504"/>
      <c r="J1504"/>
      <c r="K1504" t="s">
        <v>4774</v>
      </c>
      <c r="L1504">
        <v>10931625</v>
      </c>
      <c r="M1504" t="s">
        <v>3273</v>
      </c>
    </row>
    <row r="1505" spans="1:13" ht="15" x14ac:dyDescent="0.25">
      <c r="A1505" t="s">
        <v>1818</v>
      </c>
      <c r="B1505" t="s">
        <v>11</v>
      </c>
      <c r="C1505" t="s">
        <v>12</v>
      </c>
      <c r="D1505" t="s">
        <v>36</v>
      </c>
      <c r="E1505" t="s">
        <v>37</v>
      </c>
      <c r="F1505" t="s">
        <v>1809</v>
      </c>
      <c r="G1505" t="s">
        <v>1819</v>
      </c>
      <c r="H1505"/>
      <c r="I1505"/>
      <c r="J1505"/>
      <c r="K1505" t="s">
        <v>4775</v>
      </c>
      <c r="L1505">
        <v>10698</v>
      </c>
      <c r="M1505" t="s">
        <v>2084</v>
      </c>
    </row>
    <row r="1506" spans="1:13" ht="15" x14ac:dyDescent="0.25">
      <c r="A1506" t="s">
        <v>2189</v>
      </c>
      <c r="B1506" t="s">
        <v>11</v>
      </c>
      <c r="C1506" t="s">
        <v>12</v>
      </c>
      <c r="D1506" t="s">
        <v>24</v>
      </c>
      <c r="E1506" t="s">
        <v>54</v>
      </c>
      <c r="F1506" t="s">
        <v>55</v>
      </c>
      <c r="G1506" t="s">
        <v>56</v>
      </c>
      <c r="H1506"/>
      <c r="I1506"/>
      <c r="J1506"/>
      <c r="K1506" t="s">
        <v>4776</v>
      </c>
      <c r="L1506">
        <v>12300207</v>
      </c>
      <c r="M1506" t="s">
        <v>3274</v>
      </c>
    </row>
    <row r="1507" spans="1:13" ht="15" x14ac:dyDescent="0.25">
      <c r="A1507" t="s">
        <v>1646</v>
      </c>
      <c r="B1507" t="s">
        <v>11</v>
      </c>
      <c r="C1507" t="s">
        <v>12</v>
      </c>
      <c r="D1507" t="s">
        <v>111</v>
      </c>
      <c r="E1507" t="s">
        <v>120</v>
      </c>
      <c r="F1507" t="s">
        <v>308</v>
      </c>
      <c r="G1507" t="s">
        <v>309</v>
      </c>
      <c r="H1507" t="s">
        <v>310</v>
      </c>
      <c r="I1507"/>
      <c r="J1507"/>
      <c r="K1507" t="s">
        <v>4777</v>
      </c>
      <c r="L1507">
        <v>5318645</v>
      </c>
      <c r="M1507" t="s">
        <v>3275</v>
      </c>
    </row>
    <row r="1508" spans="1:13" ht="15" x14ac:dyDescent="0.25">
      <c r="A1508" t="s">
        <v>1678</v>
      </c>
      <c r="B1508" t="s">
        <v>11</v>
      </c>
      <c r="C1508" t="s">
        <v>12</v>
      </c>
      <c r="D1508" t="s">
        <v>111</v>
      </c>
      <c r="E1508" t="s">
        <v>120</v>
      </c>
      <c r="F1508" t="s">
        <v>308</v>
      </c>
      <c r="G1508" t="s">
        <v>309</v>
      </c>
      <c r="H1508" t="s">
        <v>310</v>
      </c>
      <c r="I1508"/>
      <c r="J1508"/>
      <c r="K1508" t="s">
        <v>4778</v>
      </c>
      <c r="L1508">
        <v>5490064</v>
      </c>
      <c r="M1508" t="s">
        <v>2036</v>
      </c>
    </row>
    <row r="1509" spans="1:13" ht="15" x14ac:dyDescent="0.25">
      <c r="A1509" t="s">
        <v>1047</v>
      </c>
      <c r="B1509" t="s">
        <v>11</v>
      </c>
      <c r="C1509" t="s">
        <v>12</v>
      </c>
      <c r="D1509" t="s">
        <v>111</v>
      </c>
      <c r="E1509" t="s">
        <v>120</v>
      </c>
      <c r="F1509" t="s">
        <v>308</v>
      </c>
      <c r="G1509" t="s">
        <v>309</v>
      </c>
      <c r="H1509"/>
      <c r="I1509"/>
      <c r="J1509"/>
      <c r="K1509" t="s">
        <v>4779</v>
      </c>
      <c r="L1509">
        <v>6072</v>
      </c>
      <c r="M1509" t="s">
        <v>3276</v>
      </c>
    </row>
    <row r="1510" spans="1:13" ht="15" x14ac:dyDescent="0.25">
      <c r="A1510" t="s">
        <v>1673</v>
      </c>
      <c r="B1510" t="s">
        <v>11</v>
      </c>
      <c r="C1510" t="s">
        <v>12</v>
      </c>
      <c r="D1510" t="s">
        <v>111</v>
      </c>
      <c r="E1510" t="s">
        <v>120</v>
      </c>
      <c r="F1510" t="s">
        <v>308</v>
      </c>
      <c r="G1510" t="s">
        <v>348</v>
      </c>
      <c r="H1510" t="s">
        <v>349</v>
      </c>
      <c r="I1510"/>
      <c r="J1510"/>
      <c r="K1510" t="s">
        <v>4780</v>
      </c>
      <c r="L1510">
        <v>5281675</v>
      </c>
      <c r="M1510" t="s">
        <v>2033</v>
      </c>
    </row>
    <row r="1511" spans="1:13" ht="15" x14ac:dyDescent="0.25">
      <c r="A1511" t="s">
        <v>1655</v>
      </c>
      <c r="B1511" t="s">
        <v>11</v>
      </c>
      <c r="C1511" t="s">
        <v>12</v>
      </c>
      <c r="D1511" t="s">
        <v>111</v>
      </c>
      <c r="E1511" t="s">
        <v>120</v>
      </c>
      <c r="F1511" t="s">
        <v>308</v>
      </c>
      <c r="G1511" t="s">
        <v>309</v>
      </c>
      <c r="H1511" t="s">
        <v>1656</v>
      </c>
      <c r="I1511"/>
      <c r="J1511"/>
      <c r="K1511" t="s">
        <v>4781</v>
      </c>
      <c r="L1511">
        <v>5320686</v>
      </c>
      <c r="M1511" t="s">
        <v>2025</v>
      </c>
    </row>
    <row r="1512" spans="1:13" ht="15" x14ac:dyDescent="0.25">
      <c r="A1512" t="s">
        <v>1789</v>
      </c>
      <c r="B1512" t="s">
        <v>11</v>
      </c>
      <c r="C1512" t="s">
        <v>12</v>
      </c>
      <c r="D1512" t="s">
        <v>36</v>
      </c>
      <c r="E1512" t="s">
        <v>37</v>
      </c>
      <c r="F1512" t="s">
        <v>1790</v>
      </c>
      <c r="G1512" t="s">
        <v>1791</v>
      </c>
      <c r="H1512"/>
      <c r="I1512"/>
      <c r="J1512"/>
      <c r="K1512" t="s">
        <v>4782</v>
      </c>
      <c r="L1512">
        <v>3870203</v>
      </c>
      <c r="M1512" t="s">
        <v>3277</v>
      </c>
    </row>
    <row r="1513" spans="1:13" x14ac:dyDescent="0.2">
      <c r="K1513" s="2"/>
      <c r="L1513" s="2"/>
    </row>
    <row r="1514" spans="1:13" x14ac:dyDescent="0.2">
      <c r="K1514" s="2"/>
      <c r="L1514" s="2"/>
    </row>
    <row r="1515" spans="1:13" x14ac:dyDescent="0.2">
      <c r="K1515" s="2"/>
      <c r="L1515" s="2"/>
    </row>
    <row r="1516" spans="1:13" x14ac:dyDescent="0.2">
      <c r="K1516" s="2"/>
      <c r="L1516" s="2"/>
    </row>
    <row r="1517" spans="1:13" x14ac:dyDescent="0.2">
      <c r="K1517" s="2"/>
      <c r="L1517" s="2"/>
    </row>
    <row r="1518" spans="1:13" x14ac:dyDescent="0.2">
      <c r="K1518" s="2"/>
      <c r="L1518" s="2"/>
    </row>
    <row r="1519" spans="1:13" x14ac:dyDescent="0.2">
      <c r="K1519" s="2"/>
      <c r="L1519" s="2"/>
    </row>
    <row r="1520" spans="1:13" x14ac:dyDescent="0.2">
      <c r="K1520" s="2"/>
      <c r="L1520" s="2"/>
    </row>
    <row r="1521" spans="11:12" x14ac:dyDescent="0.2">
      <c r="K1521" s="2"/>
      <c r="L1521" s="2"/>
    </row>
    <row r="1522" spans="11:12" x14ac:dyDescent="0.2">
      <c r="K1522" s="2"/>
      <c r="L1522" s="2"/>
    </row>
    <row r="1523" spans="11:12" x14ac:dyDescent="0.2">
      <c r="K1523" s="2"/>
      <c r="L1523" s="2"/>
    </row>
    <row r="1524" spans="11:12" x14ac:dyDescent="0.2">
      <c r="K1524" s="2"/>
      <c r="L1524" s="2"/>
    </row>
    <row r="1525" spans="11:12" x14ac:dyDescent="0.2">
      <c r="K1525" s="2"/>
      <c r="L1525" s="2"/>
    </row>
    <row r="1526" spans="11:12" x14ac:dyDescent="0.2">
      <c r="K1526" s="2"/>
      <c r="L1526" s="2"/>
    </row>
    <row r="1527" spans="11:12" x14ac:dyDescent="0.2">
      <c r="K1527" s="2"/>
      <c r="L1527" s="2"/>
    </row>
    <row r="1528" spans="11:12" x14ac:dyDescent="0.2">
      <c r="K1528" s="2"/>
      <c r="L1528" s="2"/>
    </row>
    <row r="1529" spans="11:12" x14ac:dyDescent="0.2">
      <c r="K1529" s="2"/>
      <c r="L1529" s="2"/>
    </row>
    <row r="1530" spans="11:12" x14ac:dyDescent="0.2">
      <c r="K1530" s="2"/>
      <c r="L1530" s="2"/>
    </row>
    <row r="1531" spans="11:12" x14ac:dyDescent="0.2">
      <c r="K1531" s="2"/>
      <c r="L1531" s="2"/>
    </row>
    <row r="1532" spans="11:12" x14ac:dyDescent="0.2">
      <c r="K1532" s="2"/>
      <c r="L1532" s="2"/>
    </row>
    <row r="1533" spans="11:12" x14ac:dyDescent="0.2">
      <c r="K1533" s="2"/>
      <c r="L1533" s="2"/>
    </row>
    <row r="1534" spans="11:12" x14ac:dyDescent="0.2">
      <c r="K1534" s="2"/>
      <c r="L1534" s="2"/>
    </row>
    <row r="1535" spans="11:12" x14ac:dyDescent="0.2">
      <c r="K1535" s="2"/>
      <c r="L1535" s="2"/>
    </row>
    <row r="1536" spans="11:12" x14ac:dyDescent="0.2">
      <c r="K1536" s="2"/>
      <c r="L1536" s="2"/>
    </row>
    <row r="1537" spans="11:12" x14ac:dyDescent="0.2">
      <c r="K1537" s="2"/>
      <c r="L1537" s="2"/>
    </row>
    <row r="1538" spans="11:12" x14ac:dyDescent="0.2">
      <c r="K1538" s="2"/>
      <c r="L1538" s="2"/>
    </row>
    <row r="1539" spans="11:12" x14ac:dyDescent="0.2">
      <c r="K1539" s="2"/>
      <c r="L1539" s="2"/>
    </row>
    <row r="1540" spans="11:12" x14ac:dyDescent="0.2">
      <c r="K1540" s="2"/>
      <c r="L1540" s="2"/>
    </row>
    <row r="1541" spans="11:12" x14ac:dyDescent="0.2">
      <c r="K1541" s="2"/>
      <c r="L1541" s="2"/>
    </row>
    <row r="1542" spans="11:12" x14ac:dyDescent="0.2">
      <c r="K1542" s="2"/>
      <c r="L1542" s="2"/>
    </row>
    <row r="1543" spans="11:12" x14ac:dyDescent="0.2">
      <c r="K1543" s="2"/>
      <c r="L1543" s="2"/>
    </row>
    <row r="1544" spans="11:12" x14ac:dyDescent="0.2">
      <c r="K1544" s="2"/>
      <c r="L1544" s="2"/>
    </row>
    <row r="1545" spans="11:12" x14ac:dyDescent="0.2">
      <c r="K1545" s="2"/>
      <c r="L1545" s="2"/>
    </row>
    <row r="1546" spans="11:12" x14ac:dyDescent="0.2">
      <c r="K1546" s="2"/>
      <c r="L1546" s="2"/>
    </row>
    <row r="1547" spans="11:12" x14ac:dyDescent="0.2">
      <c r="K1547" s="2"/>
      <c r="L1547" s="2"/>
    </row>
    <row r="1548" spans="11:12" x14ac:dyDescent="0.2">
      <c r="K1548" s="2"/>
      <c r="L1548" s="2"/>
    </row>
    <row r="1549" spans="11:12" x14ac:dyDescent="0.2">
      <c r="K1549" s="2"/>
      <c r="L1549" s="2"/>
    </row>
    <row r="1550" spans="11:12" x14ac:dyDescent="0.2">
      <c r="K1550" s="2"/>
    </row>
    <row r="1551" spans="11:12" x14ac:dyDescent="0.2">
      <c r="K1551" s="2"/>
      <c r="L1551" s="2"/>
    </row>
    <row r="1552" spans="11:12" x14ac:dyDescent="0.2">
      <c r="K1552" s="2"/>
      <c r="L1552" s="2"/>
    </row>
    <row r="1553" spans="11:12" x14ac:dyDescent="0.2">
      <c r="K1553" s="2"/>
      <c r="L1553" s="2"/>
    </row>
    <row r="1554" spans="11:12" x14ac:dyDescent="0.2">
      <c r="K1554" s="2"/>
      <c r="L1554" s="2"/>
    </row>
    <row r="1555" spans="11:12" x14ac:dyDescent="0.2">
      <c r="K1555" s="2"/>
      <c r="L1555" s="2"/>
    </row>
    <row r="1556" spans="11:12" x14ac:dyDescent="0.2">
      <c r="K1556" s="2"/>
      <c r="L1556" s="2"/>
    </row>
    <row r="1557" spans="11:12" x14ac:dyDescent="0.2">
      <c r="K1557" s="2"/>
      <c r="L1557" s="2"/>
    </row>
    <row r="1558" spans="11:12" x14ac:dyDescent="0.2">
      <c r="K1558" s="2"/>
      <c r="L1558" s="2"/>
    </row>
    <row r="1559" spans="11:12" x14ac:dyDescent="0.2">
      <c r="K1559" s="2"/>
      <c r="L1559" s="2"/>
    </row>
    <row r="1560" spans="11:12" x14ac:dyDescent="0.2">
      <c r="K1560" s="2"/>
      <c r="L1560" s="2"/>
    </row>
    <row r="1561" spans="11:12" x14ac:dyDescent="0.2">
      <c r="K1561" s="2"/>
      <c r="L1561" s="2"/>
    </row>
    <row r="1562" spans="11:12" x14ac:dyDescent="0.2">
      <c r="K1562" s="2"/>
      <c r="L1562" s="2"/>
    </row>
    <row r="1563" spans="11:12" x14ac:dyDescent="0.2">
      <c r="K1563" s="2"/>
      <c r="L1563" s="2"/>
    </row>
    <row r="1564" spans="11:12" x14ac:dyDescent="0.2">
      <c r="K1564" s="2"/>
      <c r="L1564" s="2"/>
    </row>
    <row r="1565" spans="11:12" x14ac:dyDescent="0.2">
      <c r="K1565" s="2"/>
      <c r="L1565" s="2"/>
    </row>
    <row r="1566" spans="11:12" x14ac:dyDescent="0.2">
      <c r="K1566" s="2"/>
      <c r="L1566" s="2"/>
    </row>
    <row r="1567" spans="11:12" x14ac:dyDescent="0.2">
      <c r="K1567" s="2"/>
      <c r="L1567" s="2"/>
    </row>
    <row r="1568" spans="11:12" x14ac:dyDescent="0.2">
      <c r="K1568" s="2"/>
      <c r="L1568" s="2"/>
    </row>
    <row r="1569" spans="11:12" x14ac:dyDescent="0.2">
      <c r="K1569" s="2"/>
      <c r="L1569" s="2"/>
    </row>
    <row r="1570" spans="11:12" x14ac:dyDescent="0.2">
      <c r="K1570" s="2"/>
      <c r="L1570" s="2"/>
    </row>
    <row r="1571" spans="11:12" x14ac:dyDescent="0.2">
      <c r="K1571" s="2"/>
      <c r="L1571" s="2"/>
    </row>
    <row r="1572" spans="11:12" x14ac:dyDescent="0.2">
      <c r="K1572" s="2"/>
      <c r="L1572" s="2"/>
    </row>
    <row r="1573" spans="11:12" x14ac:dyDescent="0.2">
      <c r="K1573" s="2"/>
      <c r="L1573" s="2"/>
    </row>
    <row r="1574" spans="11:12" x14ac:dyDescent="0.2">
      <c r="K1574" s="2"/>
      <c r="L1574" s="2"/>
    </row>
    <row r="1575" spans="11:12" x14ac:dyDescent="0.2">
      <c r="K1575" s="2"/>
      <c r="L1575" s="2"/>
    </row>
    <row r="1576" spans="11:12" x14ac:dyDescent="0.2">
      <c r="K1576" s="2"/>
      <c r="L1576" s="2"/>
    </row>
    <row r="1577" spans="11:12" x14ac:dyDescent="0.2">
      <c r="K1577" s="2"/>
      <c r="L1577" s="2"/>
    </row>
    <row r="1578" spans="11:12" x14ac:dyDescent="0.2">
      <c r="K1578" s="2"/>
      <c r="L1578" s="2"/>
    </row>
    <row r="1579" spans="11:12" x14ac:dyDescent="0.2">
      <c r="K1579" s="2"/>
      <c r="L1579" s="2"/>
    </row>
    <row r="1580" spans="11:12" x14ac:dyDescent="0.2">
      <c r="K1580" s="2"/>
      <c r="L1580" s="2"/>
    </row>
    <row r="1581" spans="11:12" x14ac:dyDescent="0.2">
      <c r="K1581" s="2"/>
      <c r="L1581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propolis_compounds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France</dc:creator>
  <cp:lastModifiedBy>Fernanda France</cp:lastModifiedBy>
  <dcterms:created xsi:type="dcterms:W3CDTF">2024-01-08T12:35:14Z</dcterms:created>
  <dcterms:modified xsi:type="dcterms:W3CDTF">2025-02-07T17:40:56Z</dcterms:modified>
</cp:coreProperties>
</file>